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d.docs.live.net/9b6c1aa54bbdf306/CHECK AUTO PRESTO 2024/"/>
    </mc:Choice>
  </mc:AlternateContent>
  <xr:revisionPtr revIDLastSave="0" documentId="8_{383F5855-DD30-48A9-A870-C149DA7CEC29}" xr6:coauthVersionLast="47" xr6:coauthVersionMax="47" xr10:uidLastSave="{00000000-0000-0000-0000-000000000000}"/>
  <workbookProtection lockStructure="1"/>
  <bookViews>
    <workbookView xWindow="-120" yWindow="-120" windowWidth="29040" windowHeight="15720" tabRatio="804" xr2:uid="{00000000-000D-0000-FFFF-FFFF00000000}"/>
  </bookViews>
  <sheets>
    <sheet name="IMPRESSION" sheetId="2" r:id="rId1"/>
    <sheet name="ATTESTATION DE TRAVEAUX" sheetId="3" r:id="rId2"/>
    <sheet name="ETIQUETTE VIDANGE" sheetId="5" r:id="rId3"/>
    <sheet name="ETIQUETTE GAZOIL" sheetId="7" r:id="rId4"/>
    <sheet name="CHECK_VEHICULE" sheetId="8" r:id="rId5"/>
    <sheet name="VEHICULES" sheetId="10" r:id="rId6"/>
    <sheet name="MECANICIEN" sheetId="12" r:id="rId7"/>
  </sheets>
  <definedNames>
    <definedName name="DATE_HEURE">IMPRESSION!$G$3</definedName>
    <definedName name="DATEHEURE">OFFSET(CHECK_VEHICULE!$BY:$BY,0,0,CHECK_VEHICULE!$CD$1)</definedName>
    <definedName name="DISQUESARRIERE">#REF!</definedName>
    <definedName name="DISQUESAVANT">#REF!</definedName>
    <definedName name="DonnéesExternes_1" localSheetId="5" hidden="1">VEHICULES!$A$1:$K$513</definedName>
    <definedName name="EMBRAYAGE">#REF!</definedName>
    <definedName name="Id">#REF!</definedName>
    <definedName name="IMMATRICULATION">VEHICULES!$A:$A</definedName>
    <definedName name="immatunique">OFFSET(CHECK_VEHICULE!$BX:$BX,0,0,CHECK_VEHICULE!$CB$1)</definedName>
    <definedName name="MARQUE">#REF!</definedName>
    <definedName name="MODEL">#REF!</definedName>
    <definedName name="NOM">#REF!</definedName>
    <definedName name="PLAQUETTES">#REF!</definedName>
    <definedName name="VIDANGE">#REF!</definedName>
    <definedName name="_xlnm.Print_Area" localSheetId="0">IMPRESSION!$A$1:$H$64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72" i="8" l="1"/>
  <c r="BV71" i="8"/>
  <c r="BV70" i="8"/>
  <c r="BV69" i="8"/>
  <c r="BV68" i="8"/>
  <c r="BV67" i="8"/>
  <c r="BV66" i="8"/>
  <c r="BV65" i="8"/>
  <c r="BV64" i="8"/>
  <c r="BV63" i="8"/>
  <c r="BV62" i="8"/>
  <c r="BV61" i="8"/>
  <c r="BV60" i="8"/>
  <c r="BV59" i="8"/>
  <c r="BV58" i="8"/>
  <c r="BV57" i="8"/>
  <c r="BV56" i="8"/>
  <c r="BV55" i="8"/>
  <c r="BV54" i="8"/>
  <c r="BV53" i="8"/>
  <c r="BV52" i="8"/>
  <c r="BV51" i="8"/>
  <c r="BV50" i="8"/>
  <c r="BV49" i="8"/>
  <c r="BV48" i="8"/>
  <c r="BV47" i="8"/>
  <c r="BV46" i="8"/>
  <c r="BV45" i="8"/>
  <c r="BV44" i="8"/>
  <c r="BV43" i="8"/>
  <c r="BV42" i="8"/>
  <c r="BV41" i="8"/>
  <c r="BV40" i="8"/>
  <c r="BV39" i="8"/>
  <c r="BV38" i="8"/>
  <c r="BV37" i="8"/>
  <c r="BV36" i="8"/>
  <c r="BV35" i="8"/>
  <c r="BV34" i="8"/>
  <c r="BV33" i="8"/>
  <c r="BV32" i="8"/>
  <c r="BV31" i="8"/>
  <c r="BV30" i="8"/>
  <c r="BV29" i="8"/>
  <c r="BV28" i="8"/>
  <c r="BV27" i="8"/>
  <c r="BV26" i="8"/>
  <c r="BV25" i="8"/>
  <c r="BV24" i="8"/>
  <c r="BV23" i="8"/>
  <c r="BV22" i="8"/>
  <c r="BV21" i="8"/>
  <c r="BV20" i="8"/>
  <c r="BV18" i="8"/>
  <c r="BV2" i="8"/>
  <c r="BV3" i="8"/>
  <c r="BV4" i="8"/>
  <c r="BV5" i="8"/>
  <c r="BV6" i="8"/>
  <c r="BV7" i="8"/>
  <c r="BV8" i="8"/>
  <c r="BV9" i="8"/>
  <c r="BV10" i="8"/>
  <c r="BV11" i="8"/>
  <c r="BV12" i="8"/>
  <c r="BV13" i="8"/>
  <c r="BV14" i="8"/>
  <c r="BV15" i="8"/>
  <c r="BV16" i="8"/>
  <c r="BV17" i="8"/>
  <c r="BV19" i="8"/>
  <c r="BV73" i="8"/>
  <c r="BV74" i="8"/>
  <c r="BV75" i="8"/>
  <c r="BV76" i="8"/>
  <c r="BV77" i="8"/>
  <c r="BV78" i="8"/>
  <c r="BV79" i="8"/>
  <c r="BV80" i="8"/>
  <c r="BV81" i="8"/>
  <c r="BV82" i="8"/>
  <c r="BV83" i="8"/>
  <c r="BV84" i="8"/>
  <c r="BV85" i="8"/>
  <c r="BV86" i="8"/>
  <c r="BV87" i="8"/>
  <c r="BV88" i="8"/>
  <c r="BV89" i="8"/>
  <c r="BV90" i="8"/>
  <c r="BV91" i="8"/>
  <c r="BV92" i="8"/>
  <c r="BV93" i="8"/>
  <c r="BV94" i="8"/>
  <c r="BV95" i="8"/>
  <c r="BV96" i="8"/>
  <c r="BV97" i="8"/>
  <c r="BV98" i="8"/>
  <c r="BV99" i="8"/>
  <c r="BV100" i="8"/>
  <c r="BV101" i="8"/>
  <c r="BV102" i="8"/>
  <c r="BV103" i="8"/>
  <c r="BV104" i="8"/>
  <c r="BV105" i="8"/>
  <c r="BV106" i="8"/>
  <c r="BV107" i="8"/>
  <c r="BV108" i="8"/>
  <c r="BV109" i="8"/>
  <c r="BV110" i="8"/>
  <c r="BV111" i="8"/>
  <c r="BV112" i="8"/>
  <c r="BV223" i="8"/>
  <c r="BV222" i="8"/>
  <c r="BV221" i="8"/>
  <c r="BV220" i="8"/>
  <c r="BV219" i="8"/>
  <c r="BV218" i="8"/>
  <c r="BV217" i="8"/>
  <c r="BV216" i="8"/>
  <c r="BV215" i="8"/>
  <c r="BV214" i="8"/>
  <c r="BV213" i="8"/>
  <c r="BV212" i="8"/>
  <c r="BV211" i="8"/>
  <c r="BV210" i="8"/>
  <c r="BV209" i="8"/>
  <c r="BV208" i="8"/>
  <c r="BV207" i="8"/>
  <c r="BV206" i="8"/>
  <c r="BV205" i="8"/>
  <c r="BV204" i="8"/>
  <c r="BV203" i="8"/>
  <c r="BV202" i="8"/>
  <c r="BV201" i="8"/>
  <c r="BV200" i="8"/>
  <c r="BV199" i="8"/>
  <c r="BV198" i="8"/>
  <c r="BV197" i="8"/>
  <c r="BV196" i="8"/>
  <c r="BV195" i="8"/>
  <c r="BV194" i="8"/>
  <c r="BV193" i="8"/>
  <c r="BV192" i="8"/>
  <c r="BV191" i="8"/>
  <c r="BV190" i="8"/>
  <c r="BV189" i="8"/>
  <c r="BV188" i="8"/>
  <c r="BV187" i="8"/>
  <c r="BV186" i="8"/>
  <c r="BV185" i="8"/>
  <c r="C55" i="2"/>
  <c r="C56" i="2"/>
  <c r="BV184" i="8"/>
  <c r="BV183" i="8"/>
  <c r="BV182" i="8"/>
  <c r="BV181" i="8"/>
  <c r="BV180" i="8"/>
  <c r="BV179" i="8"/>
  <c r="BV178" i="8"/>
  <c r="BV177" i="8"/>
  <c r="BV176" i="8"/>
  <c r="BV175" i="8"/>
  <c r="B10" i="5"/>
  <c r="BV174" i="8"/>
  <c r="BV173" i="8"/>
  <c r="BV172" i="8"/>
  <c r="BV171" i="8"/>
  <c r="BV170" i="8"/>
  <c r="BV169" i="8"/>
  <c r="BV168" i="8"/>
  <c r="BV167" i="8"/>
  <c r="BV166" i="8"/>
  <c r="BV165" i="8"/>
  <c r="BV164" i="8"/>
  <c r="BV163" i="8"/>
  <c r="BV162" i="8"/>
  <c r="BV161" i="8"/>
  <c r="BV160" i="8"/>
  <c r="BV159" i="8"/>
  <c r="BV158" i="8"/>
  <c r="BV157" i="8"/>
  <c r="BV156" i="8"/>
  <c r="BV155" i="8"/>
  <c r="BV154" i="8"/>
  <c r="BV153" i="8"/>
  <c r="BV152" i="8"/>
  <c r="BV151" i="8"/>
  <c r="BV150" i="8"/>
  <c r="BV149" i="8"/>
  <c r="BV148" i="8"/>
  <c r="BV147" i="8"/>
  <c r="BV146" i="8"/>
  <c r="BV145" i="8"/>
  <c r="BV144" i="8"/>
  <c r="BV143" i="8"/>
  <c r="BV142" i="8"/>
  <c r="BV141" i="8"/>
  <c r="BV140" i="8"/>
  <c r="BV139" i="8"/>
  <c r="BV138" i="8"/>
  <c r="BV137" i="8"/>
  <c r="BV136" i="8"/>
  <c r="BV135" i="8"/>
  <c r="BV134" i="8"/>
  <c r="BV133" i="8"/>
  <c r="BV132" i="8"/>
  <c r="BV131" i="8"/>
  <c r="BV130" i="8"/>
  <c r="BV129" i="8"/>
  <c r="BV128" i="8"/>
  <c r="BV127" i="8"/>
  <c r="BV126" i="8"/>
  <c r="BV125" i="8"/>
  <c r="BV124" i="8"/>
  <c r="BV123" i="8"/>
  <c r="BV122" i="8"/>
  <c r="BV121" i="8"/>
  <c r="BV120" i="8"/>
  <c r="BV119" i="8"/>
  <c r="BV118" i="8"/>
  <c r="BV117" i="8"/>
  <c r="BV116" i="8"/>
  <c r="BV115" i="8"/>
  <c r="BV114" i="8"/>
  <c r="BV113" i="8"/>
  <c r="C13" i="2"/>
  <c r="C12" i="2"/>
  <c r="F5" i="3" s="1"/>
  <c r="C52" i="2"/>
  <c r="H38" i="2"/>
  <c r="H37" i="2"/>
  <c r="H36" i="2"/>
  <c r="H35" i="2"/>
  <c r="H34" i="2"/>
  <c r="H33" i="2"/>
  <c r="H32" i="2"/>
  <c r="H31" i="2"/>
  <c r="H30" i="2"/>
  <c r="H29" i="2"/>
  <c r="H28" i="2"/>
  <c r="H26" i="2"/>
  <c r="H25" i="2"/>
  <c r="H24" i="2"/>
  <c r="H23" i="2"/>
  <c r="H22" i="2"/>
  <c r="H21" i="2"/>
  <c r="H20" i="2"/>
  <c r="H1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F4" i="3"/>
  <c r="C4" i="3"/>
  <c r="O56" i="2"/>
  <c r="G53" i="2" s="1"/>
  <c r="A9" i="7" s="1"/>
  <c r="O55" i="2"/>
  <c r="E53" i="2" s="1"/>
  <c r="O53" i="2"/>
  <c r="O52" i="2"/>
  <c r="E52" i="2" s="1"/>
  <c r="O49" i="2"/>
  <c r="A50" i="2" s="1"/>
  <c r="O48" i="2"/>
  <c r="A49" i="2" s="1"/>
  <c r="O47" i="2"/>
  <c r="A48" i="2" s="1"/>
  <c r="O46" i="2"/>
  <c r="A47" i="2" s="1"/>
  <c r="O44" i="2"/>
  <c r="A45" i="2" s="1"/>
  <c r="O43" i="2"/>
  <c r="A44" i="2" s="1"/>
  <c r="O42" i="2"/>
  <c r="A43" i="2" s="1"/>
  <c r="O41" i="2"/>
  <c r="A42" i="2" s="1"/>
  <c r="O40" i="2"/>
  <c r="A41" i="2" s="1"/>
  <c r="G10" i="2"/>
  <c r="G9" i="2"/>
  <c r="B53" i="2"/>
  <c r="B52" i="2"/>
  <c r="B9" i="5" s="1"/>
  <c r="O45" i="2"/>
  <c r="A46" i="2" s="1"/>
  <c r="G5" i="2"/>
  <c r="C11" i="2"/>
  <c r="C6" i="3" s="1"/>
  <c r="C10" i="2"/>
  <c r="C5" i="3" s="1"/>
  <c r="BY1" i="8" a="1"/>
  <c r="BY1" i="8" s="1"/>
  <c r="CD1" i="8" a="1"/>
  <c r="CD1" i="8" s="1"/>
  <c r="CB1" i="8" a="1"/>
  <c r="CB1" i="8" s="1"/>
  <c r="BX1" i="8" a="1"/>
  <c r="BX1" i="8" s="1"/>
  <c r="A13" i="5"/>
  <c r="A7" i="5"/>
  <c r="A7" i="7"/>
  <c r="D36" i="3"/>
  <c r="C12" i="7" l="1"/>
  <c r="B13" i="5"/>
  <c r="A16" i="5" s="1"/>
  <c r="G5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EBF673-F708-4377-B089-FDCCEEB3A4DC}" keepAlive="1" name="Requête - CLIENT" description="Connexion à la requête « CLIENT » dans le classeur." type="5" refreshedVersion="8" background="1" saveData="1">
    <dbPr connection="Provider=Microsoft.Mashup.OleDb.1;Data Source=$Workbook$;Location=CLIENT;Extended Properties=&quot;&quot;" command="SELECT * FROM [CLIENT]"/>
  </connection>
  <connection id="2" xr16:uid="{68F6431D-90BE-416C-A95D-D9F9152A1A7B}" keepAlive="1" name="Requête - VEHICULES" description="Connexion à la requête « VEHICULES » dans le classeur." type="5" refreshedVersion="8" background="1" saveData="1">
    <dbPr connection="Provider=Microsoft.Mashup.OleDb.1;Data Source=$Workbook$;Location=VEHICULES;Extended Properties=&quot;&quot;" command="SELECT * FROM [VEHICUL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<sst xmlns="http://schemas.openxmlformats.org/spreadsheetml/2006/main" count="10131" uniqueCount="2851">
  <si>
    <t>IMMATRICULATION</t>
  </si>
  <si>
    <t>FA788NP</t>
  </si>
  <si>
    <t>NOM</t>
  </si>
  <si>
    <t>MECANICIEN</t>
  </si>
  <si>
    <t>DISQUES AVANT EN MM</t>
  </si>
  <si>
    <t>DISQUE ARRIERE EN MM</t>
  </si>
  <si>
    <t>MARQUE</t>
  </si>
  <si>
    <t>MODEL</t>
  </si>
  <si>
    <t>KILOMETRAGE</t>
  </si>
  <si>
    <t>PROCHAIN C.T</t>
  </si>
  <si>
    <t>AUTO PRESTO</t>
  </si>
  <si>
    <t>DATE :</t>
  </si>
  <si>
    <t>3 rue de la Guadeloupe</t>
  </si>
  <si>
    <t>97490 SAINTE CLOTILDE</t>
  </si>
  <si>
    <t>0693 01 25 39</t>
  </si>
  <si>
    <t>PORTABLE</t>
  </si>
  <si>
    <t>Antivol de roue bon état</t>
  </si>
  <si>
    <t>MOTEUR</t>
  </si>
  <si>
    <t>Teste batterie/alternateur</t>
  </si>
  <si>
    <t>Démarreur</t>
  </si>
  <si>
    <t>Plaque immat AV</t>
  </si>
  <si>
    <t>Témoin tableau de bord</t>
  </si>
  <si>
    <t>Fuite boite</t>
  </si>
  <si>
    <t>Rétroviseur</t>
  </si>
  <si>
    <t>Fuite moteur</t>
  </si>
  <si>
    <t>klaxon</t>
  </si>
  <si>
    <t xml:space="preserve">supports moteur </t>
  </si>
  <si>
    <t>Frein à main</t>
  </si>
  <si>
    <t>Liquide de frein</t>
  </si>
  <si>
    <t>essuie glace</t>
  </si>
  <si>
    <t>Filtre à air</t>
  </si>
  <si>
    <t>Eclairage</t>
  </si>
  <si>
    <t>Courroie accessoire</t>
  </si>
  <si>
    <t>Jeux au volant</t>
  </si>
  <si>
    <t>AVANT</t>
  </si>
  <si>
    <t>Roulement</t>
  </si>
  <si>
    <t>ARRIERE</t>
  </si>
  <si>
    <t>Pneus AR</t>
  </si>
  <si>
    <t>Pneus avant</t>
  </si>
  <si>
    <t>Frein AR</t>
  </si>
  <si>
    <t>Paralellisme</t>
  </si>
  <si>
    <t>Roulement AR</t>
  </si>
  <si>
    <t>Disque avant</t>
  </si>
  <si>
    <t>Flexible AR</t>
  </si>
  <si>
    <t>Plaquettes avant</t>
  </si>
  <si>
    <t>Amortisseur AR</t>
  </si>
  <si>
    <t>Amortisseur avant</t>
  </si>
  <si>
    <t>Silent Bloc AR</t>
  </si>
  <si>
    <t>Biellette barre stab</t>
  </si>
  <si>
    <t>ACCESSOIRES</t>
  </si>
  <si>
    <t>Plaque immat AR</t>
  </si>
  <si>
    <t>Direction complet</t>
  </si>
  <si>
    <t>Antenne radio</t>
  </si>
  <si>
    <t>Cardans</t>
  </si>
  <si>
    <t>Roue de secours</t>
  </si>
  <si>
    <t>Triangles avant</t>
  </si>
  <si>
    <t>Gilet/Triangle secu</t>
  </si>
  <si>
    <t>Flexible de frein</t>
  </si>
  <si>
    <t>Crique / Clé roue</t>
  </si>
  <si>
    <t>MISE A ZERO VIDANGE</t>
  </si>
  <si>
    <t>ROUE SERRER AU COUPLE</t>
  </si>
  <si>
    <t>ETIQUETTE DE VIDANGE</t>
  </si>
  <si>
    <t>ETIQUETTE DISTRIBUTION</t>
  </si>
  <si>
    <t>ETIQUETTE PLAQUETTE</t>
  </si>
  <si>
    <t>PARFUM</t>
  </si>
  <si>
    <t>NETTOYAGE</t>
  </si>
  <si>
    <t>ATTESTATION DE TRAVAUX</t>
  </si>
  <si>
    <t>IMMATRICULATION :</t>
  </si>
  <si>
    <t>MARQUE :</t>
  </si>
  <si>
    <t xml:space="preserve">KILOMETRAGE : </t>
  </si>
  <si>
    <t>MODEL :</t>
  </si>
  <si>
    <t>LISTE DES TRAVAUX</t>
  </si>
  <si>
    <t>23 MM</t>
  </si>
  <si>
    <t>TOYOTA</t>
  </si>
  <si>
    <t>RAV 4</t>
  </si>
  <si>
    <t>565BYK974</t>
  </si>
  <si>
    <t>BEST CAR</t>
  </si>
  <si>
    <t>19 MM</t>
  </si>
  <si>
    <t>TAMBOUR</t>
  </si>
  <si>
    <t>JAZZ</t>
  </si>
  <si>
    <t>AA622QZ</t>
  </si>
  <si>
    <t>21 MM</t>
  </si>
  <si>
    <t>8 MM</t>
  </si>
  <si>
    <t>HONDA</t>
  </si>
  <si>
    <t>CIVIC</t>
  </si>
  <si>
    <t>AA951TH</t>
  </si>
  <si>
    <t>7 OU 10</t>
  </si>
  <si>
    <t>AA981EH</t>
  </si>
  <si>
    <t>MASSI RAV4</t>
  </si>
  <si>
    <t>275MM : 22mm;296mm:25mm</t>
  </si>
  <si>
    <t>RAV4</t>
  </si>
  <si>
    <t>AB190FQ</t>
  </si>
  <si>
    <t>MR SERVICE</t>
  </si>
  <si>
    <t>20 MM</t>
  </si>
  <si>
    <t>7 MM</t>
  </si>
  <si>
    <t>YARIS</t>
  </si>
  <si>
    <t>AD049WB</t>
  </si>
  <si>
    <t>FEN SHONG</t>
  </si>
  <si>
    <t>25 MM</t>
  </si>
  <si>
    <t>10.5 MM</t>
  </si>
  <si>
    <t>AD498BC</t>
  </si>
  <si>
    <t>DEPANN 110</t>
  </si>
  <si>
    <t>AG370HC</t>
  </si>
  <si>
    <t>XAVIER</t>
  </si>
  <si>
    <t>22M / 27MM</t>
  </si>
  <si>
    <t>VOLKSWAGEN</t>
  </si>
  <si>
    <t>SCIROCCO 3</t>
  </si>
  <si>
    <t>AG460JX</t>
  </si>
  <si>
    <t>MARIE CLAUDINE</t>
  </si>
  <si>
    <t>20 ou 24 mm</t>
  </si>
  <si>
    <t>7 mm</t>
  </si>
  <si>
    <t>PEUGEOT</t>
  </si>
  <si>
    <t>AG569CF</t>
  </si>
  <si>
    <t>AG661AH</t>
  </si>
  <si>
    <t>24 MM</t>
  </si>
  <si>
    <t>9 MM</t>
  </si>
  <si>
    <t>AVENSIS</t>
  </si>
  <si>
    <t>AH534ER</t>
  </si>
  <si>
    <t>22MM</t>
  </si>
  <si>
    <t>10MM</t>
  </si>
  <si>
    <t>VW</t>
  </si>
  <si>
    <t>AJ420BD</t>
  </si>
  <si>
    <t>SEAT</t>
  </si>
  <si>
    <t>IBIZA</t>
  </si>
  <si>
    <t>AJ565NR</t>
  </si>
  <si>
    <t>P:11MM / V:18.4MM</t>
  </si>
  <si>
    <t>206+</t>
  </si>
  <si>
    <t>AJ707DQ</t>
  </si>
  <si>
    <t>RENAULT</t>
  </si>
  <si>
    <t>MODUS</t>
  </si>
  <si>
    <t>16 MM</t>
  </si>
  <si>
    <t>HYUNDAI</t>
  </si>
  <si>
    <t>I10</t>
  </si>
  <si>
    <t>AL991NV</t>
  </si>
  <si>
    <t>22,4 MM</t>
  </si>
  <si>
    <t>MERCEDES</t>
  </si>
  <si>
    <t>CLASSE B</t>
  </si>
  <si>
    <t>AM252DY</t>
  </si>
  <si>
    <t>VELLAYOUDOM JOHNY</t>
  </si>
  <si>
    <t>CITROEN</t>
  </si>
  <si>
    <t>PERLINGO</t>
  </si>
  <si>
    <t>AM892ZF</t>
  </si>
  <si>
    <t>18 MM</t>
  </si>
  <si>
    <t>AYGO</t>
  </si>
  <si>
    <t>AR110CB</t>
  </si>
  <si>
    <t>VW 507.00</t>
  </si>
  <si>
    <t>22 OU 19 MM</t>
  </si>
  <si>
    <t>POLO</t>
  </si>
  <si>
    <t>AS065NW</t>
  </si>
  <si>
    <t>21,8 OU 23,4 MM</t>
  </si>
  <si>
    <t>MEGANE</t>
  </si>
  <si>
    <t>AS290TF</t>
  </si>
  <si>
    <t>JEAN LUC</t>
  </si>
  <si>
    <t>AS852GQ</t>
  </si>
  <si>
    <t>A MESURER</t>
  </si>
  <si>
    <t>YETI</t>
  </si>
  <si>
    <t>AX402VL</t>
  </si>
  <si>
    <t>NERBUSSON</t>
  </si>
  <si>
    <t>11 MM</t>
  </si>
  <si>
    <t>AY019ZT</t>
  </si>
  <si>
    <t>20 OU 24 MM</t>
  </si>
  <si>
    <t>C4</t>
  </si>
  <si>
    <t>AZ096EF</t>
  </si>
  <si>
    <t>20MM</t>
  </si>
  <si>
    <t>8.4MM</t>
  </si>
  <si>
    <t>I20</t>
  </si>
  <si>
    <t>BA016LZ</t>
  </si>
  <si>
    <t>CLIO</t>
  </si>
  <si>
    <t>BD239JT</t>
  </si>
  <si>
    <t>BE214TV</t>
  </si>
  <si>
    <t>RN0700</t>
  </si>
  <si>
    <t>BF512LK</t>
  </si>
  <si>
    <t>SIV AUTO 974</t>
  </si>
  <si>
    <t>DACIA</t>
  </si>
  <si>
    <t>DUSTER</t>
  </si>
  <si>
    <t>SIV AUTOS 974</t>
  </si>
  <si>
    <t>19.8 MM OU 21.8 MM</t>
  </si>
  <si>
    <t>8.1 MM OU 7.1 MM</t>
  </si>
  <si>
    <t>BF942HJ</t>
  </si>
  <si>
    <t>SEAM</t>
  </si>
  <si>
    <t>18 MM / 123 NM / 64 NM</t>
  </si>
  <si>
    <t>HILUX</t>
  </si>
  <si>
    <t>BJ632BR</t>
  </si>
  <si>
    <t>BK152CA</t>
  </si>
  <si>
    <t>MADI MOUSSA</t>
  </si>
  <si>
    <t>308 SW</t>
  </si>
  <si>
    <t>BL466MA</t>
  </si>
  <si>
    <t>MME BUT</t>
  </si>
  <si>
    <t>BN187YJ</t>
  </si>
  <si>
    <t>TASNIME</t>
  </si>
  <si>
    <t>24,4 MM</t>
  </si>
  <si>
    <t>TUCSON</t>
  </si>
  <si>
    <t>BN696KH</t>
  </si>
  <si>
    <t>BP181LJ</t>
  </si>
  <si>
    <t>ABD TRADING</t>
  </si>
  <si>
    <t>psa b712290</t>
  </si>
  <si>
    <t>BOXER</t>
  </si>
  <si>
    <t>BP625ZF</t>
  </si>
  <si>
    <t>8,4 MM</t>
  </si>
  <si>
    <t>I30</t>
  </si>
  <si>
    <t>24MM</t>
  </si>
  <si>
    <t>BQ594CT</t>
  </si>
  <si>
    <t>AURIS</t>
  </si>
  <si>
    <t>BT041NL</t>
  </si>
  <si>
    <t>19.8 MM</t>
  </si>
  <si>
    <t>BT118WH</t>
  </si>
  <si>
    <t>MOUNTAZIR</t>
  </si>
  <si>
    <t>21.8 MM</t>
  </si>
  <si>
    <t>SCENIC</t>
  </si>
  <si>
    <t>BV368BD</t>
  </si>
  <si>
    <t>OPEL</t>
  </si>
  <si>
    <t>BX332CS</t>
  </si>
  <si>
    <t>WSS M2C913D</t>
  </si>
  <si>
    <t>FORD</t>
  </si>
  <si>
    <t>FIESTA 6</t>
  </si>
  <si>
    <t>BX812QE</t>
  </si>
  <si>
    <t>SOULAIMANA HERBIN</t>
  </si>
  <si>
    <t>19.4MM</t>
  </si>
  <si>
    <t>7MM</t>
  </si>
  <si>
    <t>CLASSE A</t>
  </si>
  <si>
    <t>BX951GF</t>
  </si>
  <si>
    <t>CHABBAR</t>
  </si>
  <si>
    <t>21.8 / 23.4 OU 28 MM</t>
  </si>
  <si>
    <t>7 OU 9.5 MM</t>
  </si>
  <si>
    <t>BY146VF</t>
  </si>
  <si>
    <t>EMMANUEL BM</t>
  </si>
  <si>
    <t>20/23//28 ou 32 MM</t>
  </si>
  <si>
    <t>8 /10 ou 20 MM</t>
  </si>
  <si>
    <t>AUDI</t>
  </si>
  <si>
    <t>A4</t>
  </si>
  <si>
    <t>BZ291BH</t>
  </si>
  <si>
    <t>22 MM</t>
  </si>
  <si>
    <t>NISSAN</t>
  </si>
  <si>
    <t>BZ463HS</t>
  </si>
  <si>
    <t>BZ620TB</t>
  </si>
  <si>
    <t>GRAZIANO CHRISTOPHER</t>
  </si>
  <si>
    <t>CB044RA</t>
  </si>
  <si>
    <t>RAJAONAH ERIC</t>
  </si>
  <si>
    <t>10 MM</t>
  </si>
  <si>
    <t>BERLINGO</t>
  </si>
  <si>
    <t>CB407LS</t>
  </si>
  <si>
    <t>MME SANTO</t>
  </si>
  <si>
    <t>TWINGO</t>
  </si>
  <si>
    <t>CB889WY</t>
  </si>
  <si>
    <t>28 OU 27,5 OU 34 MM</t>
  </si>
  <si>
    <t>10 OU 20 MM</t>
  </si>
  <si>
    <t>Q5</t>
  </si>
  <si>
    <t>CC277SK</t>
  </si>
  <si>
    <t>CHEVROLET</t>
  </si>
  <si>
    <t>SPARK</t>
  </si>
  <si>
    <t>CD785RH</t>
  </si>
  <si>
    <t>ANILAH MATHIEU</t>
  </si>
  <si>
    <t>KUGA</t>
  </si>
  <si>
    <t>CE042ZG</t>
  </si>
  <si>
    <t>7 OU 10 MM</t>
  </si>
  <si>
    <t>CF378PW</t>
  </si>
  <si>
    <t>26 MM</t>
  </si>
  <si>
    <t>9,4 MM</t>
  </si>
  <si>
    <t>SANTA FE</t>
  </si>
  <si>
    <t>CG464YR</t>
  </si>
  <si>
    <t>HONDA CRV</t>
  </si>
  <si>
    <t>26 mm</t>
  </si>
  <si>
    <t>8 mm</t>
  </si>
  <si>
    <t>honda</t>
  </si>
  <si>
    <t>CRV</t>
  </si>
  <si>
    <t>CJ300JR</t>
  </si>
  <si>
    <t>POLO V</t>
  </si>
  <si>
    <t>CK454GT</t>
  </si>
  <si>
    <t>CLASSE C</t>
  </si>
  <si>
    <t>CK469AK</t>
  </si>
  <si>
    <t>LE TAMIL</t>
  </si>
  <si>
    <t>25MM</t>
  </si>
  <si>
    <t>14MM</t>
  </si>
  <si>
    <t>CM283VR4</t>
  </si>
  <si>
    <t>AUPERE STEPHANIE</t>
  </si>
  <si>
    <t>207 +</t>
  </si>
  <si>
    <t>CN090DG</t>
  </si>
  <si>
    <t>PSA B712312</t>
  </si>
  <si>
    <t>24 / 26 OU 28</t>
  </si>
  <si>
    <t>CN314MZ</t>
  </si>
  <si>
    <t>19 OU 20 MM</t>
  </si>
  <si>
    <t>CN644SP</t>
  </si>
  <si>
    <t>Q3</t>
  </si>
  <si>
    <t>CP685NS</t>
  </si>
  <si>
    <t>RIKINA AHMED</t>
  </si>
  <si>
    <t>20 / 24 ou 26 mm</t>
  </si>
  <si>
    <t>CP809QF</t>
  </si>
  <si>
    <t>AUTO PASSION</t>
  </si>
  <si>
    <t>CQ467VM</t>
  </si>
  <si>
    <t>ANNE</t>
  </si>
  <si>
    <t>21,8 OU 23,8 MM</t>
  </si>
  <si>
    <t>CQ485DJ</t>
  </si>
  <si>
    <t>COLO</t>
  </si>
  <si>
    <t>CQ537VW</t>
  </si>
  <si>
    <t>LISSONDE</t>
  </si>
  <si>
    <t>19,8 MM OU 21,8 MM</t>
  </si>
  <si>
    <t>MACHOIRES</t>
  </si>
  <si>
    <t>LODGY</t>
  </si>
  <si>
    <t>CQ734FQ</t>
  </si>
  <si>
    <t>19 OU 22 OU 27 MM</t>
  </si>
  <si>
    <t>CADDY</t>
  </si>
  <si>
    <t>CS028VK</t>
  </si>
  <si>
    <t>TAMBOURS</t>
  </si>
  <si>
    <t>CS047VY</t>
  </si>
  <si>
    <t>C-ELYSEES</t>
  </si>
  <si>
    <t>CS066XM</t>
  </si>
  <si>
    <t>CT205PG</t>
  </si>
  <si>
    <t>POPAT</t>
  </si>
  <si>
    <t>20 / 24 OU 26 MM</t>
  </si>
  <si>
    <t>CT336WE</t>
  </si>
  <si>
    <t>AHMED</t>
  </si>
  <si>
    <t>CT517FP</t>
  </si>
  <si>
    <t>PIXO</t>
  </si>
  <si>
    <t>RAHALISOA CLAUDINE</t>
  </si>
  <si>
    <t>CT748HQ</t>
  </si>
  <si>
    <t>MINI</t>
  </si>
  <si>
    <t>COOPER S</t>
  </si>
  <si>
    <t>CV779RF</t>
  </si>
  <si>
    <t>8MM</t>
  </si>
  <si>
    <t>GOLF 7</t>
  </si>
  <si>
    <t>CV896XT</t>
  </si>
  <si>
    <t>ZAFIRA</t>
  </si>
  <si>
    <t>CW427EF</t>
  </si>
  <si>
    <t>CW580KW</t>
  </si>
  <si>
    <t>LEGRAND ANNICK ARMAND</t>
  </si>
  <si>
    <t>10,5 MM PLEINS</t>
  </si>
  <si>
    <t>TWINGO 1</t>
  </si>
  <si>
    <t>CX101GM</t>
  </si>
  <si>
    <t>CX194QV</t>
  </si>
  <si>
    <t>NITRAM PATRICK</t>
  </si>
  <si>
    <t>CX450BX</t>
  </si>
  <si>
    <t>21/22/27/30 mm</t>
  </si>
  <si>
    <t>LEON</t>
  </si>
  <si>
    <t>CY047SP</t>
  </si>
  <si>
    <t>DUSSIER PASCAL</t>
  </si>
  <si>
    <t>19,8 OU 21,8MM 105NM 28NM</t>
  </si>
  <si>
    <t>CAPTUR</t>
  </si>
  <si>
    <t>CY567AX</t>
  </si>
  <si>
    <t>19MM MAX</t>
  </si>
  <si>
    <t>7MM 34NM/SUPPORT 57NM</t>
  </si>
  <si>
    <t>CZ393YK</t>
  </si>
  <si>
    <t>19,8 MM</t>
  </si>
  <si>
    <t>CLIO 4</t>
  </si>
  <si>
    <t>CZ651XK</t>
  </si>
  <si>
    <t>21.4MM</t>
  </si>
  <si>
    <t>VELOSTER</t>
  </si>
  <si>
    <t>DB285WK</t>
  </si>
  <si>
    <t>27.4 MM</t>
  </si>
  <si>
    <t>18.4 MM</t>
  </si>
  <si>
    <t>DD109ER</t>
  </si>
  <si>
    <t>DD155VC</t>
  </si>
  <si>
    <t>PEUGEOT 208</t>
  </si>
  <si>
    <t>DD995JE</t>
  </si>
  <si>
    <t>NOURANI</t>
  </si>
  <si>
    <t>DE079JR</t>
  </si>
  <si>
    <t>LATTENTION STEPHANE</t>
  </si>
  <si>
    <t>DE761GR</t>
  </si>
  <si>
    <t>19.8MM</t>
  </si>
  <si>
    <t>DF528JH</t>
  </si>
  <si>
    <t>psa b712312</t>
  </si>
  <si>
    <t>DF670ME</t>
  </si>
  <si>
    <t>HANIF</t>
  </si>
  <si>
    <t>DG246PQ</t>
  </si>
  <si>
    <t>IBAO ISABELLE</t>
  </si>
  <si>
    <t>24 OU 26 MM</t>
  </si>
  <si>
    <t>DH085YD</t>
  </si>
  <si>
    <t>207 CC</t>
  </si>
  <si>
    <t>DH138NM</t>
  </si>
  <si>
    <t>PEREZ CHRISTOPHER</t>
  </si>
  <si>
    <t>CLIO 3</t>
  </si>
  <si>
    <t>DH641SB</t>
  </si>
  <si>
    <t>19,8 OU 21,8 MM</t>
  </si>
  <si>
    <t>DH657LD</t>
  </si>
  <si>
    <t>WAUQUIEZ</t>
  </si>
  <si>
    <t>20,2 MM</t>
  </si>
  <si>
    <t>FIAT</t>
  </si>
  <si>
    <t>PUNTO</t>
  </si>
  <si>
    <t>DJ751CK</t>
  </si>
  <si>
    <t>19 OU 22 MM</t>
  </si>
  <si>
    <t>POLO 5</t>
  </si>
  <si>
    <t>DJ793MY</t>
  </si>
  <si>
    <t>20,24,26</t>
  </si>
  <si>
    <t>DK188VK</t>
  </si>
  <si>
    <t>COOL PRICE</t>
  </si>
  <si>
    <t>PARTNER</t>
  </si>
  <si>
    <t>DK262LK</t>
  </si>
  <si>
    <t>DK751LF</t>
  </si>
  <si>
    <t>PANIER EXPRESS</t>
  </si>
  <si>
    <t>20/24 ou 26 mm</t>
  </si>
  <si>
    <t>peugeot</t>
  </si>
  <si>
    <t>DK831PP</t>
  </si>
  <si>
    <t>DK860EV</t>
  </si>
  <si>
    <t>INTERLOCATION</t>
  </si>
  <si>
    <t>DL754DY</t>
  </si>
  <si>
    <t>24,5 MM</t>
  </si>
  <si>
    <t>MASTER 3</t>
  </si>
  <si>
    <t>DM017WZ</t>
  </si>
  <si>
    <t>CLIO IV</t>
  </si>
  <si>
    <t>DM118WS</t>
  </si>
  <si>
    <t>BMW</t>
  </si>
  <si>
    <t>X5</t>
  </si>
  <si>
    <t>DM440ZF</t>
  </si>
  <si>
    <t>MEDICAL DE BOURBON</t>
  </si>
  <si>
    <t>JUMPER</t>
  </si>
  <si>
    <t>A VOIR DIMENSION</t>
  </si>
  <si>
    <t>DM542ZL</t>
  </si>
  <si>
    <t>EXPERT TEPEE</t>
  </si>
  <si>
    <t>DM551VW</t>
  </si>
  <si>
    <t>MITSUBISHI</t>
  </si>
  <si>
    <t>OUTLANDER</t>
  </si>
  <si>
    <t>DM611EV</t>
  </si>
  <si>
    <t>20 mm</t>
  </si>
  <si>
    <t>c-elysee</t>
  </si>
  <si>
    <t>23 OU 25 MM</t>
  </si>
  <si>
    <t>DN370GC</t>
  </si>
  <si>
    <t>22.4MM OU 26MM</t>
  </si>
  <si>
    <t>DP254NP</t>
  </si>
  <si>
    <t>DIVERS</t>
  </si>
  <si>
    <t>307 SW</t>
  </si>
  <si>
    <t>DP924MJ</t>
  </si>
  <si>
    <t>DQ312CS</t>
  </si>
  <si>
    <t>VENTILES: 20 MM</t>
  </si>
  <si>
    <t>DQ714CG</t>
  </si>
  <si>
    <t>DR166EG</t>
  </si>
  <si>
    <t>DR816VD</t>
  </si>
  <si>
    <t>SAP DISTRIBUTION</t>
  </si>
  <si>
    <t>DS277BH</t>
  </si>
  <si>
    <t>DS822VA</t>
  </si>
  <si>
    <t>20 OU 24 OU 26 MM</t>
  </si>
  <si>
    <t>DS890RY</t>
  </si>
  <si>
    <t>STEPHANIE</t>
  </si>
  <si>
    <t>DT021PZ</t>
  </si>
  <si>
    <t>JUMPY</t>
  </si>
  <si>
    <t>DT396ZW</t>
  </si>
  <si>
    <t>DT901ZV</t>
  </si>
  <si>
    <t>ALMHAR HENRI</t>
  </si>
  <si>
    <t>26,4 MM</t>
  </si>
  <si>
    <t>KIA</t>
  </si>
  <si>
    <t>SPORTAGE</t>
  </si>
  <si>
    <t>DV024JB</t>
  </si>
  <si>
    <t>différents diamètres</t>
  </si>
  <si>
    <t>14,2 MM</t>
  </si>
  <si>
    <t>DV051VX</t>
  </si>
  <si>
    <t>DV296BF</t>
  </si>
  <si>
    <t>tambour</t>
  </si>
  <si>
    <t>citroen</t>
  </si>
  <si>
    <t>c- élysées</t>
  </si>
  <si>
    <t>12 MM</t>
  </si>
  <si>
    <t>DV503PY</t>
  </si>
  <si>
    <t>2mm</t>
  </si>
  <si>
    <t>9mm</t>
  </si>
  <si>
    <t>DV516YQ</t>
  </si>
  <si>
    <t>DV897TS</t>
  </si>
  <si>
    <t>KADJAR</t>
  </si>
  <si>
    <t>DV900WL</t>
  </si>
  <si>
    <t>21 OU 22 MM</t>
  </si>
  <si>
    <t>8 OU 10 MM</t>
  </si>
  <si>
    <t>AUDI A3</t>
  </si>
  <si>
    <t>DW224TN</t>
  </si>
  <si>
    <t>tambour ou 7 mm</t>
  </si>
  <si>
    <t>DW259BV</t>
  </si>
  <si>
    <t>DW443KW</t>
  </si>
  <si>
    <t>DW569SQ</t>
  </si>
  <si>
    <t>DW860PW</t>
  </si>
  <si>
    <t>DW933YF</t>
  </si>
  <si>
    <t>PLS CHOIX</t>
  </si>
  <si>
    <t>DX537ME</t>
  </si>
  <si>
    <t>DX669ME</t>
  </si>
  <si>
    <t>DY258JM</t>
  </si>
  <si>
    <t>CARRE</t>
  </si>
  <si>
    <t>DZ014VV</t>
  </si>
  <si>
    <t>DANIELE</t>
  </si>
  <si>
    <t>24 mm</t>
  </si>
  <si>
    <t>10 mm</t>
  </si>
  <si>
    <t>DZ197AT</t>
  </si>
  <si>
    <t>DZ244FA</t>
  </si>
  <si>
    <t>26.4 MM</t>
  </si>
  <si>
    <t>8.4 MM</t>
  </si>
  <si>
    <t>DZ663WA</t>
  </si>
  <si>
    <t>21 mm</t>
  </si>
  <si>
    <t>9 mm OU TAMBOUR</t>
  </si>
  <si>
    <t>TRANSIT</t>
  </si>
  <si>
    <t>DZ884PT</t>
  </si>
  <si>
    <t>RENOUD JENNYFER</t>
  </si>
  <si>
    <t>EA957AL</t>
  </si>
  <si>
    <t>BADOURALY SALIM RAZA</t>
  </si>
  <si>
    <t>20MM 24MM 26MM</t>
  </si>
  <si>
    <t>EB094YL</t>
  </si>
  <si>
    <t>EB143NQ</t>
  </si>
  <si>
    <t>10,5 MM</t>
  </si>
  <si>
    <t>RAV 4 HYBRIDE</t>
  </si>
  <si>
    <t>EB360KV</t>
  </si>
  <si>
    <t>BILAL</t>
  </si>
  <si>
    <t>DS5</t>
  </si>
  <si>
    <t>EB372HP</t>
  </si>
  <si>
    <t>RENAULT AURELIE</t>
  </si>
  <si>
    <t>pleins:10.6MM / ventilés:19.8MM</t>
  </si>
  <si>
    <t>TWINGO 3</t>
  </si>
  <si>
    <t>JUKE</t>
  </si>
  <si>
    <t>EB795WA</t>
  </si>
  <si>
    <t>POLO TSI</t>
  </si>
  <si>
    <t>EC584NV</t>
  </si>
  <si>
    <t>UAKSIR</t>
  </si>
  <si>
    <t>25 NM</t>
  </si>
  <si>
    <t>SANDERO</t>
  </si>
  <si>
    <t>EC691LY</t>
  </si>
  <si>
    <t>BABY FLORENT</t>
  </si>
  <si>
    <t>EC773ZJ</t>
  </si>
  <si>
    <t>ED575CR</t>
  </si>
  <si>
    <t>ILYASS</t>
  </si>
  <si>
    <t>283: 24 MM</t>
  </si>
  <si>
    <t>268: 10 MM</t>
  </si>
  <si>
    <t>ED952RZ</t>
  </si>
  <si>
    <t>STEPWAY</t>
  </si>
  <si>
    <t>EE748XL</t>
  </si>
  <si>
    <t>LFC</t>
  </si>
  <si>
    <t>EE935QX</t>
  </si>
  <si>
    <t>EF479RK</t>
  </si>
  <si>
    <t>EF519GG</t>
  </si>
  <si>
    <t>SAFLA HUZEIFA</t>
  </si>
  <si>
    <t>19 MM ET 22 MM</t>
  </si>
  <si>
    <t>SKODA</t>
  </si>
  <si>
    <t>FABIA</t>
  </si>
  <si>
    <t>EF568NM</t>
  </si>
  <si>
    <t>EF710PT</t>
  </si>
  <si>
    <t>ROBERT KATIE</t>
  </si>
  <si>
    <t>18,4 MM</t>
  </si>
  <si>
    <t>C1</t>
  </si>
  <si>
    <t>EG397CZ</t>
  </si>
  <si>
    <t>ZAYNOUL</t>
  </si>
  <si>
    <t>TIGUAN</t>
  </si>
  <si>
    <t>EG518FE</t>
  </si>
  <si>
    <t>20 /24 /26 MM</t>
  </si>
  <si>
    <t>EH531EW</t>
  </si>
  <si>
    <t>EH537EW</t>
  </si>
  <si>
    <t>22 OU 27 MM</t>
  </si>
  <si>
    <t>EH678DA</t>
  </si>
  <si>
    <t>EJ246DF</t>
  </si>
  <si>
    <t>GOULAMALY</t>
  </si>
  <si>
    <t>19,8MM</t>
  </si>
  <si>
    <t>CAPTURE</t>
  </si>
  <si>
    <t>EJ651CN</t>
  </si>
  <si>
    <t>EJ918TK</t>
  </si>
  <si>
    <t>EK158WL</t>
  </si>
  <si>
    <t>23/28/32/34 MM</t>
  </si>
  <si>
    <t>EK853BZ</t>
  </si>
  <si>
    <t>EL410WL</t>
  </si>
  <si>
    <t>EL653KQ</t>
  </si>
  <si>
    <t>MONTAUBAN STEPHANIE</t>
  </si>
  <si>
    <t>C3</t>
  </si>
  <si>
    <t>EL802XV</t>
  </si>
  <si>
    <t>ENTREPRISE JLKY</t>
  </si>
  <si>
    <t>21,9 25,9 29,9mm</t>
  </si>
  <si>
    <t>14,2mm</t>
  </si>
  <si>
    <t>jumper</t>
  </si>
  <si>
    <t>EM259WP</t>
  </si>
  <si>
    <t>262 OU 280 MM</t>
  </si>
  <si>
    <t>EN282TF</t>
  </si>
  <si>
    <t>SAUTRON</t>
  </si>
  <si>
    <t>EN561AE</t>
  </si>
  <si>
    <t>KOO HIN CHEONG SOPHIE</t>
  </si>
  <si>
    <t>8.6 MM</t>
  </si>
  <si>
    <t>EN600NS</t>
  </si>
  <si>
    <t>EN737GM</t>
  </si>
  <si>
    <t>EN933EY</t>
  </si>
  <si>
    <t>SHOP EXPRESS</t>
  </si>
  <si>
    <t>EP023KP</t>
  </si>
  <si>
    <t>PLEINS: 10,6 MM</t>
  </si>
  <si>
    <t>EP092RZ</t>
  </si>
  <si>
    <t>6 MM</t>
  </si>
  <si>
    <t>SAXO</t>
  </si>
  <si>
    <t>EP131XQ</t>
  </si>
  <si>
    <t>MANDON PRISCILLA</t>
  </si>
  <si>
    <t>24 ou 26 MM</t>
  </si>
  <si>
    <t>EP144HN</t>
  </si>
  <si>
    <t>EP194HN</t>
  </si>
  <si>
    <t>EP265WH</t>
  </si>
  <si>
    <t>EP267RA</t>
  </si>
  <si>
    <t>EP408QD</t>
  </si>
  <si>
    <t>20 / 24 / 26/ 28 OU 30 MM</t>
  </si>
  <si>
    <t>EP510KP</t>
  </si>
  <si>
    <t>10,6 OU 19,8 MM</t>
  </si>
  <si>
    <t>EP572WG</t>
  </si>
  <si>
    <t>EP604YT</t>
  </si>
  <si>
    <t>20 /24 OU 26 MM</t>
  </si>
  <si>
    <t>EP634KN</t>
  </si>
  <si>
    <t>EP726VX</t>
  </si>
  <si>
    <t>EP869KN</t>
  </si>
  <si>
    <t>P:10,6 V:19,8</t>
  </si>
  <si>
    <t>EP924KL</t>
  </si>
  <si>
    <t>266: 20 MM</t>
  </si>
  <si>
    <t>EQ004JA</t>
  </si>
  <si>
    <t>AHAMADI SAID</t>
  </si>
  <si>
    <t>EQ214ZP</t>
  </si>
  <si>
    <t>4X4 EQUIPEMENT</t>
  </si>
  <si>
    <t>EQ283WP</t>
  </si>
  <si>
    <t>A VOIR DIAMETRES DISQUES</t>
  </si>
  <si>
    <t>EQ330QL</t>
  </si>
  <si>
    <t>NUMA ELODIE</t>
  </si>
  <si>
    <t>EQ860TY</t>
  </si>
  <si>
    <t>POUNOUSSAMY CELINE</t>
  </si>
  <si>
    <t>19.8 ou 21.8 mm</t>
  </si>
  <si>
    <t>EQ865HT</t>
  </si>
  <si>
    <t>16 ou 19 mm</t>
  </si>
  <si>
    <t>Tambours</t>
  </si>
  <si>
    <t>FOX</t>
  </si>
  <si>
    <t>ER552RY</t>
  </si>
  <si>
    <t>ER626LH</t>
  </si>
  <si>
    <t>ER837PG</t>
  </si>
  <si>
    <t>TOYBATI</t>
  </si>
  <si>
    <t>ES364PY</t>
  </si>
  <si>
    <t>14.2MM</t>
  </si>
  <si>
    <t>ES422TW</t>
  </si>
  <si>
    <t>16 OU 18 MM</t>
  </si>
  <si>
    <t>ES928TB</t>
  </si>
  <si>
    <t>ET885DE</t>
  </si>
  <si>
    <t>266MM: 20 MM</t>
  </si>
  <si>
    <t>ET885QM</t>
  </si>
  <si>
    <t>8 MM OU 10 MM</t>
  </si>
  <si>
    <t>ET944PC</t>
  </si>
  <si>
    <t>ET985DE</t>
  </si>
  <si>
    <t>DETHES BENJAMIN</t>
  </si>
  <si>
    <t>A VOIR DIMENSIONS DISQUES</t>
  </si>
  <si>
    <t>EV024VZ</t>
  </si>
  <si>
    <t>EV575FD</t>
  </si>
  <si>
    <t>23,4 MM</t>
  </si>
  <si>
    <t>TRAFFIC</t>
  </si>
  <si>
    <t>EV690CX</t>
  </si>
  <si>
    <t>ACTEMIUM</t>
  </si>
  <si>
    <t>EW075TR</t>
  </si>
  <si>
    <t>ERIC COMPTABLE</t>
  </si>
  <si>
    <t>PSA B712290</t>
  </si>
  <si>
    <t>EW128CZ</t>
  </si>
  <si>
    <t>EW147CZ</t>
  </si>
  <si>
    <t>TRAVELLER</t>
  </si>
  <si>
    <t>EW394VZ</t>
  </si>
  <si>
    <t>EW446DF</t>
  </si>
  <si>
    <t>20MM / EN 266</t>
  </si>
  <si>
    <t>7 MM / EN 249</t>
  </si>
  <si>
    <t>EW630DF</t>
  </si>
  <si>
    <t>SACRI SANDRINE</t>
  </si>
  <si>
    <t>283 MM</t>
  </si>
  <si>
    <t>249 MM</t>
  </si>
  <si>
    <t>EX898AP</t>
  </si>
  <si>
    <t>SAS HANCEL</t>
  </si>
  <si>
    <t>LAND CRUISER PRADO</t>
  </si>
  <si>
    <t>EZ212SL</t>
  </si>
  <si>
    <t>29,4MM</t>
  </si>
  <si>
    <t>11,4MM</t>
  </si>
  <si>
    <t>ML320</t>
  </si>
  <si>
    <t>EZ246YD</t>
  </si>
  <si>
    <t>EZ457WF</t>
  </si>
  <si>
    <t>AM AUTO</t>
  </si>
  <si>
    <t>29.4 MM / SPORT: 34 MM</t>
  </si>
  <si>
    <t>MERCEDEZ</t>
  </si>
  <si>
    <t>GLC 220</t>
  </si>
  <si>
    <t>FA019CK</t>
  </si>
  <si>
    <t>25.5 MM</t>
  </si>
  <si>
    <t>ALPHA ROMEO</t>
  </si>
  <si>
    <t>STELVIO</t>
  </si>
  <si>
    <t>FA661BQ</t>
  </si>
  <si>
    <t>FA854TW</t>
  </si>
  <si>
    <t>ALLO.COM</t>
  </si>
  <si>
    <t>10 PLEIN 20 VENTILE</t>
  </si>
  <si>
    <t>Q5 40 TDI</t>
  </si>
  <si>
    <t>FB005KG</t>
  </si>
  <si>
    <t>FC142BD</t>
  </si>
  <si>
    <t>249: 7 MM</t>
  </si>
  <si>
    <t>FC798FL</t>
  </si>
  <si>
    <t>fc909rr</t>
  </si>
  <si>
    <t>FD046DD</t>
  </si>
  <si>
    <t>MOREQUITO FRANCOIS</t>
  </si>
  <si>
    <t>FD477HL</t>
  </si>
  <si>
    <t>ANDRIEUX NATHALIE</t>
  </si>
  <si>
    <t>345 MM: EP 27.5 MM</t>
  </si>
  <si>
    <t>9.5 MM</t>
  </si>
  <si>
    <t>VOLVO</t>
  </si>
  <si>
    <t>FD596BM</t>
  </si>
  <si>
    <t>MOREAU OLIVIER BERNARD</t>
  </si>
  <si>
    <t>FE216EN</t>
  </si>
  <si>
    <t>SOUKAINA</t>
  </si>
  <si>
    <t>19 21 OU 22 MM</t>
  </si>
  <si>
    <t>7 OU 10 MM OU TAMBOUR</t>
  </si>
  <si>
    <t>FE580SQ</t>
  </si>
  <si>
    <t>FE771AM</t>
  </si>
  <si>
    <t>20 / 22 OU 27 MM</t>
  </si>
  <si>
    <t>FE818CZ</t>
  </si>
  <si>
    <t>AUTO 313</t>
  </si>
  <si>
    <t>PIECES EN STOCK</t>
  </si>
  <si>
    <t>FF097XA</t>
  </si>
  <si>
    <t>PSA B712010</t>
  </si>
  <si>
    <t>FF347XA</t>
  </si>
  <si>
    <t>FF392PD</t>
  </si>
  <si>
    <t>TAMBOUR OU 8 OU 10 MM</t>
  </si>
  <si>
    <t>FF770FF</t>
  </si>
  <si>
    <t>FF833XA</t>
  </si>
  <si>
    <t>266: 20MM</t>
  </si>
  <si>
    <t>FF841XA</t>
  </si>
  <si>
    <t>FF969XA</t>
  </si>
  <si>
    <t>FG038JF</t>
  </si>
  <si>
    <t>FG586XK</t>
  </si>
  <si>
    <t>SPRINTER</t>
  </si>
  <si>
    <t>FG735JE</t>
  </si>
  <si>
    <t>FH013GF</t>
  </si>
  <si>
    <t>TOUT EN PEINTURE</t>
  </si>
  <si>
    <t>9,5 MM</t>
  </si>
  <si>
    <t>KANGOO</t>
  </si>
  <si>
    <t>FH839XA</t>
  </si>
  <si>
    <t>20/24/26/28/30MM</t>
  </si>
  <si>
    <t>7 OU 10MM</t>
  </si>
  <si>
    <t>FH845XA</t>
  </si>
  <si>
    <t>20/24/26/28 ou 30 mm</t>
  </si>
  <si>
    <t>7 ou 10 mm</t>
  </si>
  <si>
    <t>FJ261LE</t>
  </si>
  <si>
    <t>GALAOR NICOLAS</t>
  </si>
  <si>
    <t>FJ539LC</t>
  </si>
  <si>
    <t>C5</t>
  </si>
  <si>
    <t>FK075BM</t>
  </si>
  <si>
    <t>FK084BM</t>
  </si>
  <si>
    <t>NON DISPO</t>
  </si>
  <si>
    <t>FK094BM</t>
  </si>
  <si>
    <t>FK299QW</t>
  </si>
  <si>
    <t>FK382ZW</t>
  </si>
  <si>
    <t>FIESTA VII</t>
  </si>
  <si>
    <t>FK492RL</t>
  </si>
  <si>
    <t>20 , 24 OU 26 MM</t>
  </si>
  <si>
    <t>FK851GD</t>
  </si>
  <si>
    <t>FK926GY</t>
  </si>
  <si>
    <t>FL045TX</t>
  </si>
  <si>
    <t>FL173TX</t>
  </si>
  <si>
    <t>FL842NX</t>
  </si>
  <si>
    <t>11MM</t>
  </si>
  <si>
    <t>FM020PT</t>
  </si>
  <si>
    <t>25.4 MM SANS EQUIP SPORT</t>
  </si>
  <si>
    <t>8.3 MM</t>
  </si>
  <si>
    <t>GLA 200</t>
  </si>
  <si>
    <t>FM118KY</t>
  </si>
  <si>
    <t>23.4 MM</t>
  </si>
  <si>
    <t>266:20 MM 283: 24 MM</t>
  </si>
  <si>
    <t>FN346PT</t>
  </si>
  <si>
    <t>FN453GR</t>
  </si>
  <si>
    <t>DEPARIS ANNE LAURE</t>
  </si>
  <si>
    <t>19 / 21 OU 22 MM</t>
  </si>
  <si>
    <t>FN797BD</t>
  </si>
  <si>
    <t>BOUJARD</t>
  </si>
  <si>
    <t>FP131AX</t>
  </si>
  <si>
    <t>SPEED LOC</t>
  </si>
  <si>
    <t>10 MM OU V: 20MM</t>
  </si>
  <si>
    <t>PROACE</t>
  </si>
  <si>
    <t>FQ371RW</t>
  </si>
  <si>
    <t>FQ473LY</t>
  </si>
  <si>
    <t>FQ881YX</t>
  </si>
  <si>
    <t>FR526GY</t>
  </si>
  <si>
    <t>SECUTECH</t>
  </si>
  <si>
    <t>30 MM</t>
  </si>
  <si>
    <t>13 MM</t>
  </si>
  <si>
    <t>FR816BY</t>
  </si>
  <si>
    <t>SHOPPY</t>
  </si>
  <si>
    <t>FS025JS</t>
  </si>
  <si>
    <t>NV 200</t>
  </si>
  <si>
    <t>FS281MR</t>
  </si>
  <si>
    <t>NV200</t>
  </si>
  <si>
    <t>FS368RW</t>
  </si>
  <si>
    <t>ASSELIN ALEXANDRE</t>
  </si>
  <si>
    <t>19MM OU 21MM</t>
  </si>
  <si>
    <t>IBIZA V</t>
  </si>
  <si>
    <t>FS534PQ</t>
  </si>
  <si>
    <t>FV770FF</t>
  </si>
  <si>
    <t>FW691RT</t>
  </si>
  <si>
    <t>FW850BP</t>
  </si>
  <si>
    <t>21,4 OU 23 OU 26,4 MM</t>
  </si>
  <si>
    <t>KONA</t>
  </si>
  <si>
    <t>FX513CD</t>
  </si>
  <si>
    <t>RANDOLPHE</t>
  </si>
  <si>
    <t>8 / 10 OU 20 MM</t>
  </si>
  <si>
    <t>GB510FD</t>
  </si>
  <si>
    <t>GB524MN</t>
  </si>
  <si>
    <t>CLIO 5</t>
  </si>
  <si>
    <t>GG671XZ</t>
  </si>
  <si>
    <t>22,2 MM</t>
  </si>
  <si>
    <t>10,2 MM</t>
  </si>
  <si>
    <t>JAGUAR</t>
  </si>
  <si>
    <t>X-TYPE 1</t>
  </si>
  <si>
    <t>GQ095NX</t>
  </si>
  <si>
    <t>CHAVANEL DIDIER</t>
  </si>
  <si>
    <t>LOGAN</t>
  </si>
  <si>
    <t>GS966CH</t>
  </si>
  <si>
    <t>DR706VE</t>
  </si>
  <si>
    <t>EK724FG</t>
  </si>
  <si>
    <t>20/ 24 OU 26 MM</t>
  </si>
  <si>
    <t>DS446QT</t>
  </si>
  <si>
    <t>16 / 19 OU 22 MM</t>
  </si>
  <si>
    <t>EZ813KB</t>
  </si>
  <si>
    <t>DZ190WR</t>
  </si>
  <si>
    <t>19.80</t>
  </si>
  <si>
    <t>FK375XY</t>
  </si>
  <si>
    <t>25.4 MM</t>
  </si>
  <si>
    <t>DL947JW</t>
  </si>
  <si>
    <t>FD545YP</t>
  </si>
  <si>
    <t>EW054SK</t>
  </si>
  <si>
    <t>GF353PJ</t>
  </si>
  <si>
    <t>ARKANA</t>
  </si>
  <si>
    <t>DS952ZQ</t>
  </si>
  <si>
    <t>DB104TQ</t>
  </si>
  <si>
    <t>CH857QP</t>
  </si>
  <si>
    <t>24.4 MM</t>
  </si>
  <si>
    <t>8.4 MM OU TAMBOUR</t>
  </si>
  <si>
    <t>DV741QV</t>
  </si>
  <si>
    <t>FB401VV</t>
  </si>
  <si>
    <t>FC824TT</t>
  </si>
  <si>
    <t>FR619WB</t>
  </si>
  <si>
    <t>BJ417WR</t>
  </si>
  <si>
    <t>PLEINS: 11 MM</t>
  </si>
  <si>
    <t>FH578RX</t>
  </si>
  <si>
    <t>CR185JZ</t>
  </si>
  <si>
    <t>DC282SN</t>
  </si>
  <si>
    <t>FA200TW</t>
  </si>
  <si>
    <t>25.9 MM</t>
  </si>
  <si>
    <t>26.25 MM</t>
  </si>
  <si>
    <t>FQ243EC</t>
  </si>
  <si>
    <t>24.5 MM</t>
  </si>
  <si>
    <t>DA506JR</t>
  </si>
  <si>
    <t>FG912CT</t>
  </si>
  <si>
    <t>FA459CG</t>
  </si>
  <si>
    <t>DV923SJ</t>
  </si>
  <si>
    <t>8 MM OU TAMBOUR</t>
  </si>
  <si>
    <t>EQ476DZ</t>
  </si>
  <si>
    <t>EH205YQ</t>
  </si>
  <si>
    <t>FV263SH</t>
  </si>
  <si>
    <t>FE923HS</t>
  </si>
  <si>
    <t>19.8 / 21.8 / 23.8 MM</t>
  </si>
  <si>
    <t>8.8 MM OU TAMBOUR</t>
  </si>
  <si>
    <t>DS533QS</t>
  </si>
  <si>
    <t>20 / 24 / 26 MM</t>
  </si>
  <si>
    <t>7 MM OU TAMBOUR</t>
  </si>
  <si>
    <t>FV379JG</t>
  </si>
  <si>
    <t>FR577TR</t>
  </si>
  <si>
    <t>NON FOURNI</t>
  </si>
  <si>
    <t>DS453MZ</t>
  </si>
  <si>
    <t>EY599GR</t>
  </si>
  <si>
    <t>FD176SC</t>
  </si>
  <si>
    <t>21 / 22 OU 27 MM</t>
  </si>
  <si>
    <t>DH992QK</t>
  </si>
  <si>
    <t>DB589JN</t>
  </si>
  <si>
    <t>PROMO CENTER</t>
  </si>
  <si>
    <t>FB250QM</t>
  </si>
  <si>
    <t>19.6 OU 20.4 MM</t>
  </si>
  <si>
    <t>7.6 MM</t>
  </si>
  <si>
    <t>MINI COOPER</t>
  </si>
  <si>
    <t>EQ978MW</t>
  </si>
  <si>
    <t>RENE</t>
  </si>
  <si>
    <t>EJ097NQ</t>
  </si>
  <si>
    <t>DUSSIER JEANNE</t>
  </si>
  <si>
    <t>FK882GY</t>
  </si>
  <si>
    <t>VENTILES: 19.8 MM</t>
  </si>
  <si>
    <t>ES701QX</t>
  </si>
  <si>
    <t>CELESTINE</t>
  </si>
  <si>
    <t>FE693MF</t>
  </si>
  <si>
    <t>LOUPEC</t>
  </si>
  <si>
    <t>PROCHAINE VIDANGE</t>
  </si>
  <si>
    <t>FILTRE A HUILE</t>
  </si>
  <si>
    <t>FILTRE A AIR</t>
  </si>
  <si>
    <t>FILTRE A HABITACLE</t>
  </si>
  <si>
    <t>FILTRE CARBURANT</t>
  </si>
  <si>
    <t>COUPLE BOUCHON VID</t>
  </si>
  <si>
    <t>HUILE MOTEUR</t>
  </si>
  <si>
    <t>TRAVAUX :</t>
  </si>
  <si>
    <t>Immatriculation</t>
  </si>
  <si>
    <t>Marque</t>
  </si>
  <si>
    <t>Modèle</t>
  </si>
  <si>
    <t>Année</t>
  </si>
  <si>
    <t>Réf_huile</t>
  </si>
  <si>
    <t>Quantité_huile</t>
  </si>
  <si>
    <t>Couple_bouchon_vidange</t>
  </si>
  <si>
    <t>Epaisseur_min_disque_avant</t>
  </si>
  <si>
    <t>Epaisseur_min_disque_arrière</t>
  </si>
  <si>
    <t>10.5</t>
  </si>
  <si>
    <t>19.6</t>
  </si>
  <si>
    <t>7.6</t>
  </si>
  <si>
    <t>19.8</t>
  </si>
  <si>
    <t>POLO 6</t>
  </si>
  <si>
    <t>Portable</t>
  </si>
  <si>
    <t>DADA</t>
  </si>
  <si>
    <t xml:space="preserve">NOM </t>
  </si>
  <si>
    <t>DATE_DU_CONTROLE</t>
  </si>
  <si>
    <t>REVISION</t>
  </si>
  <si>
    <t>LIDYA MOELLON</t>
  </si>
  <si>
    <t>CEDRIC TRETON</t>
  </si>
  <si>
    <t>DENA DAVID</t>
  </si>
  <si>
    <t>DUBERVILLE</t>
  </si>
  <si>
    <t>LARDANT PHILIPPE</t>
  </si>
  <si>
    <t>NEXHIP MICHELLE</t>
  </si>
  <si>
    <t>LALLEMAND DELIA</t>
  </si>
  <si>
    <t>DALILA DIFF</t>
  </si>
  <si>
    <t>PAYET THIERRY</t>
  </si>
  <si>
    <t>THIERRY MERAI</t>
  </si>
  <si>
    <t>CHATELET EMILIE</t>
  </si>
  <si>
    <t>LENORMAND THIERRY</t>
  </si>
  <si>
    <t>BATTISTINI MARINE</t>
  </si>
  <si>
    <t>GRAND SOPHIE</t>
  </si>
  <si>
    <t>ABASSI FAOUZANI</t>
  </si>
  <si>
    <t>FAROUK CHAIK</t>
  </si>
  <si>
    <t>THEO DALILA</t>
  </si>
  <si>
    <t>BARBE JEREMY</t>
  </si>
  <si>
    <t>BEAUTE</t>
  </si>
  <si>
    <t>BHAROU</t>
  </si>
  <si>
    <t>PANCHBAYA</t>
  </si>
  <si>
    <t>IMEX OI</t>
  </si>
  <si>
    <t>GTDR</t>
  </si>
  <si>
    <t>MAHMOUDOU</t>
  </si>
  <si>
    <t>ANZIZ</t>
  </si>
  <si>
    <t>FG700CN</t>
  </si>
  <si>
    <t>CE334KR</t>
  </si>
  <si>
    <t>FQ667HJ</t>
  </si>
  <si>
    <t>FM794VV</t>
  </si>
  <si>
    <t>DK713QA</t>
  </si>
  <si>
    <t>ED933DH</t>
  </si>
  <si>
    <t>FC855MP</t>
  </si>
  <si>
    <t>DM035HM</t>
  </si>
  <si>
    <t>DR301PZ</t>
  </si>
  <si>
    <t>BS085XR</t>
  </si>
  <si>
    <t>FH918SQ</t>
  </si>
  <si>
    <t>EW417BJ</t>
  </si>
  <si>
    <t>MAZDA</t>
  </si>
  <si>
    <t>CLIO IV - 14/05/2019</t>
  </si>
  <si>
    <t>A3 - 14/09/2000</t>
  </si>
  <si>
    <t>RIFTER - 9/06/2020</t>
  </si>
  <si>
    <t>T-ROC - 31/12/2019</t>
  </si>
  <si>
    <t>ZAFIRA 25/10/2006</t>
  </si>
  <si>
    <t>BERLINGO - 17/06/2016</t>
  </si>
  <si>
    <t>YARIS - 14/12/2018</t>
  </si>
  <si>
    <t>IX35 05/12/2014</t>
  </si>
  <si>
    <t>CAPTUR 1 - 20/05/2015</t>
  </si>
  <si>
    <t>C4 - 18/08/2011</t>
  </si>
  <si>
    <t>MEGANE - 10/07/2019</t>
  </si>
  <si>
    <t>5 - 26/07/2007</t>
  </si>
  <si>
    <t>26.4MM</t>
  </si>
  <si>
    <t>COMMENTAIRE 1</t>
  </si>
  <si>
    <t>COMMENTAIRE 2</t>
  </si>
  <si>
    <t>COMMENTAIRE 3</t>
  </si>
  <si>
    <t>COMMENTAIRE 4</t>
  </si>
  <si>
    <t>COMMENTAIRE 5</t>
  </si>
  <si>
    <t>COMMENTAIRE 6</t>
  </si>
  <si>
    <t>COMMENTAIRE 7</t>
  </si>
  <si>
    <t>COMMENTAIRE 8</t>
  </si>
  <si>
    <t>COMMENTAIRE 9</t>
  </si>
  <si>
    <t>COMMENTAIRE 10</t>
  </si>
  <si>
    <t>FOURNET GUILLAUME</t>
  </si>
  <si>
    <t>VENEROSY CHRISTOPHER</t>
  </si>
  <si>
    <t>TURPIN MARIE</t>
  </si>
  <si>
    <t>ALPHONSE BAKRI</t>
  </si>
  <si>
    <t>NALLET FRANCK</t>
  </si>
  <si>
    <t>KEMP GUILLAUME</t>
  </si>
  <si>
    <t>HUTELLIER ANITA</t>
  </si>
  <si>
    <t>LOUISE MORGANE</t>
  </si>
  <si>
    <t>CONSTANT CHRISTOPHE</t>
  </si>
  <si>
    <t>COLO SAID</t>
  </si>
  <si>
    <t>DORALI Iclass</t>
  </si>
  <si>
    <t>LEPINAY Bryan</t>
  </si>
  <si>
    <t>JAVEGNY Yvan</t>
  </si>
  <si>
    <t>Roulement AVANT</t>
  </si>
  <si>
    <t>MAIN D'ŒUVRE</t>
  </si>
  <si>
    <t>RETOUR</t>
  </si>
  <si>
    <t>DATE RETOUR</t>
  </si>
  <si>
    <t>COMMENTAIRE RETOUR 1</t>
  </si>
  <si>
    <t>COMMENTAIRE RETOUR 2</t>
  </si>
  <si>
    <t>COMMENTAIRE RETOUR 3</t>
  </si>
  <si>
    <t>COMMENTAIRE RETOUR 4</t>
  </si>
  <si>
    <t>commission mecano</t>
  </si>
  <si>
    <t>Pénalité Mécano</t>
  </si>
  <si>
    <t>CLE IMMATRICULATION</t>
  </si>
  <si>
    <t>Nbre immat :</t>
  </si>
  <si>
    <t>Nbre dates :</t>
  </si>
  <si>
    <t>FILTRE HABITACLE</t>
  </si>
  <si>
    <t>FILTRE A CARBURANT</t>
  </si>
  <si>
    <t>125BSN974</t>
  </si>
  <si>
    <t>417BYL974</t>
  </si>
  <si>
    <t>AL290SQ</t>
  </si>
  <si>
    <t>CX454GX</t>
  </si>
  <si>
    <t>DD822CX</t>
  </si>
  <si>
    <t>DL275JX</t>
  </si>
  <si>
    <t>DN010WQ</t>
  </si>
  <si>
    <t>DV492KH</t>
  </si>
  <si>
    <t>DV644CD</t>
  </si>
  <si>
    <t>EB632GT</t>
  </si>
  <si>
    <t>EE878RR / 8-2016</t>
  </si>
  <si>
    <t>EM464PG</t>
  </si>
  <si>
    <t>EN654QS</t>
  </si>
  <si>
    <t>FF-512-NF</t>
  </si>
  <si>
    <t>FK077BM</t>
  </si>
  <si>
    <t>FK599QW</t>
  </si>
  <si>
    <t>FM750DV</t>
  </si>
  <si>
    <t>FY319DL</t>
  </si>
  <si>
    <t>BEGUE MICHELLE</t>
  </si>
  <si>
    <t>DUGAIN</t>
  </si>
  <si>
    <t>INDE AUSTRAL</t>
  </si>
  <si>
    <t>SCHIMMENTI GUENAEL</t>
  </si>
  <si>
    <t>TFX AUTOS</t>
  </si>
  <si>
    <t>MOUSSA SITTI</t>
  </si>
  <si>
    <t>SARL ASAD</t>
  </si>
  <si>
    <t>MARIE BLUKER</t>
  </si>
  <si>
    <t>TFX XAVIER</t>
  </si>
  <si>
    <t>DENISE CHAN KAN</t>
  </si>
  <si>
    <t>FREDERIC POSTE</t>
  </si>
  <si>
    <t>TARNUS MAGALI</t>
  </si>
  <si>
    <t>MOUSTAFA</t>
  </si>
  <si>
    <t>CODY</t>
  </si>
  <si>
    <t>MASSON OCEANE</t>
  </si>
  <si>
    <t>HOARAU FARANAZ</t>
  </si>
  <si>
    <t>FREDERIC RAMOND</t>
  </si>
  <si>
    <t>OCTAVIE</t>
  </si>
  <si>
    <t>DJAMILI SAID</t>
  </si>
  <si>
    <t>CHRISTOPHER PEREZ</t>
  </si>
  <si>
    <t>SIV AUTO</t>
  </si>
  <si>
    <t>FOLRENS CORINNE</t>
  </si>
  <si>
    <t>MANIQUE CHRISTINE</t>
  </si>
  <si>
    <t>HANIFA DAHUSAIB</t>
  </si>
  <si>
    <t>SIV AUTOS</t>
  </si>
  <si>
    <t>STICKERS</t>
  </si>
  <si>
    <t>TROPIC VTC</t>
  </si>
  <si>
    <t>PAULINE SADOULET</t>
  </si>
  <si>
    <t>GRONDIN THOMAS</t>
  </si>
  <si>
    <t>ROBERT</t>
  </si>
  <si>
    <t>HOARAU FABIEN</t>
  </si>
  <si>
    <t>KOMEL SAFIR</t>
  </si>
  <si>
    <t>GRONDIN JOHNY</t>
  </si>
  <si>
    <t>MEDICALE DE BOURBON</t>
  </si>
  <si>
    <t>AUDIO PLUS</t>
  </si>
  <si>
    <t>VELLAYOUDOM</t>
  </si>
  <si>
    <t>MICKAEL DJAFARALY</t>
  </si>
  <si>
    <t>AURE</t>
  </si>
  <si>
    <t>FARANAZ KOURDJEE</t>
  </si>
  <si>
    <t>BIDAL LOANN</t>
  </si>
  <si>
    <t>MOISE FASSY</t>
  </si>
  <si>
    <t>LEPERLIER</t>
  </si>
  <si>
    <t>GANDIN MATHIEU</t>
  </si>
  <si>
    <t>TEVANE AMMANUEL</t>
  </si>
  <si>
    <t>BOTE</t>
  </si>
  <si>
    <t>CHRISTIAN HASSANALY</t>
  </si>
  <si>
    <t>HITIER MARIE CHARLOTTE</t>
  </si>
  <si>
    <t>CHRISTIAN</t>
  </si>
  <si>
    <t>PANDJOU SOURAYA</t>
  </si>
  <si>
    <t>TOFIK</t>
  </si>
  <si>
    <t>HOARAU MARIE JESSIE</t>
  </si>
  <si>
    <t>Faucon Cyanne</t>
  </si>
  <si>
    <t>BENJAMIN DETHES</t>
  </si>
  <si>
    <t>YANNICK VIDEO</t>
  </si>
  <si>
    <t>TROPIK VTC</t>
  </si>
  <si>
    <t>REUNIDRIVE</t>
  </si>
  <si>
    <t>MME SITOUZE</t>
  </si>
  <si>
    <t>MEUR CARRE</t>
  </si>
  <si>
    <t>ANTOINE</t>
  </si>
  <si>
    <t>AM AUTOS</t>
  </si>
  <si>
    <t>ALL CARS</t>
  </si>
  <si>
    <t>FABIEN STEINER</t>
  </si>
  <si>
    <t>GOULI CASSAM CHENAI</t>
  </si>
  <si>
    <t>CAZANOV</t>
  </si>
  <si>
    <t>KEVINE</t>
  </si>
  <si>
    <t>VOK</t>
  </si>
  <si>
    <t>EMELINE LEROUX</t>
  </si>
  <si>
    <t>MOUNTAZIR PANDJOU</t>
  </si>
  <si>
    <t>YANNIK VIDEO</t>
  </si>
  <si>
    <t>L'ATELIER DE PIERRICK</t>
  </si>
  <si>
    <t>ETIENNE GALLOIS</t>
  </si>
  <si>
    <t>CHAIN BADOURALY</t>
  </si>
  <si>
    <t>JS AUTOS 974</t>
  </si>
  <si>
    <t>SANTIANA</t>
  </si>
  <si>
    <t>37 NM /</t>
  </si>
  <si>
    <t>3.8 L 5W30 C2 / 25 NM</t>
  </si>
  <si>
    <t>39 NM</t>
  </si>
  <si>
    <t>10W40 5,3L 34NM</t>
  </si>
  <si>
    <t>5W30 A1 A3 25NM 4,2L</t>
  </si>
  <si>
    <t>5.9 L 5W30 C2 / 38 NM</t>
  </si>
  <si>
    <t>4.3 L 5W30 C2 / 38 NM</t>
  </si>
  <si>
    <t>3.6L 5W30 C3</t>
  </si>
  <si>
    <t>psab712290 / 30 nm</t>
  </si>
  <si>
    <t>4.3 L 5W30 ACEA B1/B3 / 38 NM</t>
  </si>
  <si>
    <t>6.3 L 5W30 C2 / 38 NM</t>
  </si>
  <si>
    <t>4L 5W30 C3 VW507.00 / 30NM</t>
  </si>
  <si>
    <t>30 nm</t>
  </si>
  <si>
    <t>4L 5W30 C2 / RN0700 / 20 NM</t>
  </si>
  <si>
    <t>40 NM</t>
  </si>
  <si>
    <t>5,8 L 5W30 C3 MB 229,31 / 30 NM</t>
  </si>
  <si>
    <t>3,8L 5W30</t>
  </si>
  <si>
    <t>API SL / 30 NM</t>
  </si>
  <si>
    <t>0W30 6L 30NM</t>
  </si>
  <si>
    <t>VW 507.00 / 30 NM</t>
  </si>
  <si>
    <t>3.3L XTS 5W30 / 40NM</t>
  </si>
  <si>
    <t>5W30C2:3L / 30 NM</t>
  </si>
  <si>
    <t>34 NM / 5w30 c2: 7,3 L</t>
  </si>
  <si>
    <t>3.8 L 5W30 C2</t>
  </si>
  <si>
    <t>PSA B712290 / 34 NM</t>
  </si>
  <si>
    <t>2.8 L 5W30 C3 VW 504.00 / 30 NM</t>
  </si>
  <si>
    <t>45 NM</t>
  </si>
  <si>
    <t>VW507,00 / 30 NM</t>
  </si>
  <si>
    <t>5.3L 5W30 C3 / 40NM</t>
  </si>
  <si>
    <t>3.8 L 5W30 C2 / 34 NM</t>
  </si>
  <si>
    <t>4.5 L 10W40 API CF / 20 NM</t>
  </si>
  <si>
    <t>4.7L 5W40 C4 RN0720 / 20 NM</t>
  </si>
  <si>
    <t>3.5 L 10W40 ACEA A3 / 10 NM</t>
  </si>
  <si>
    <t>5.8L 5W30C3 MB 229.51 / 30NM</t>
  </si>
  <si>
    <t>4.5L 5W30 C4 RN0720 / 20NM</t>
  </si>
  <si>
    <t>25 nm</t>
  </si>
  <si>
    <t>4.4 L 5W30 C4 MANNOL / 20 NM</t>
  </si>
  <si>
    <t>34 NM</t>
  </si>
  <si>
    <t>6,4L 10W30 B1B3</t>
  </si>
  <si>
    <t>psa b712290 / 34 NM</t>
  </si>
  <si>
    <t>4L 10W40 20NM</t>
  </si>
  <si>
    <t>5W30 C3: 5L / 30 NM</t>
  </si>
  <si>
    <t>4.2L 5W30 C2 psa b712290 / 30 NM</t>
  </si>
  <si>
    <t>4.5 L 5W30 C3 VW504.00 / 30 NM</t>
  </si>
  <si>
    <t>5W30C3:6,7L / 40 NM</t>
  </si>
  <si>
    <t>39NM /</t>
  </si>
  <si>
    <t>5.3L 5W30 C3 FANFARO / 40 NM</t>
  </si>
  <si>
    <t>11L 5W30 C4 MB229.51 / 30NM</t>
  </si>
  <si>
    <t>PSA B712290 / 25 NM</t>
  </si>
  <si>
    <t>psa b712290 / 42 nm</t>
  </si>
  <si>
    <t>4F / 37 NM</t>
  </si>
  <si>
    <t>RN0720 / 20 NM</t>
  </si>
  <si>
    <t>3,9L 5W30 C2 PSAB712290 40NM</t>
  </si>
  <si>
    <t>RN0700 / 50 NM</t>
  </si>
  <si>
    <t>4.3 L 5W30 C3 VW 507.00</t>
  </si>
  <si>
    <t>3.8 L 0W30 C2 / 34 NM</t>
  </si>
  <si>
    <t>4.5L 5W30 C4 RN0720</t>
  </si>
  <si>
    <t>0W30:4,2L / 30 NM</t>
  </si>
  <si>
    <t>3.8L 5W30 C2 PSAB712290 / 34NM</t>
  </si>
  <si>
    <t>3,1 L 10W40 ACEA A3 / 35 NM</t>
  </si>
  <si>
    <t>4.2L 5W30 MB229.31/ 30NM</t>
  </si>
  <si>
    <t>4.6L 5W30 C3 VW 507.00/ 30NM</t>
  </si>
  <si>
    <t>5.3L 5W30 C3 MB229.51/ 40 NM</t>
  </si>
  <si>
    <t>4L 10W40</t>
  </si>
  <si>
    <t>4.3 L 5W30 VW 507.00 / 30 NM</t>
  </si>
  <si>
    <t>3.8 L 5W30 C2 PSA B712290 / 34 NM</t>
  </si>
  <si>
    <t>4,6L 5W30C3 vw507,00</t>
  </si>
  <si>
    <t>5W30C2: 4,3 L/ 38 NM</t>
  </si>
  <si>
    <t>3.9L 5W30 C2 38NM</t>
  </si>
  <si>
    <t>20 NM</t>
  </si>
  <si>
    <t>4.5L XTS 5W30 ACEA A5 / 45NM</t>
  </si>
  <si>
    <t>4.8 L 5W30 C4 RN0720 / 20 NM</t>
  </si>
  <si>
    <t>3.6 L 10W40 / 39 NM</t>
  </si>
  <si>
    <t>3.7L 0W20 RC / 38 NM</t>
  </si>
  <si>
    <t>psa b712290 / 30 nm</t>
  </si>
  <si>
    <t>5W30 C2: 308 L / 34 NM</t>
  </si>
  <si>
    <t>ACEA A1,A3 / 38 NM</t>
  </si>
  <si>
    <t>4.8L 5W30 C4 RN0720 / 20NM</t>
  </si>
  <si>
    <t>3.8 L 5W30 C2 PSA B712290 / 25 NM</t>
  </si>
  <si>
    <t>4L 5W30 C2 RN0700 / 20 NM</t>
  </si>
  <si>
    <t>4,5L 5W30 C4 rn0720</t>
  </si>
  <si>
    <t>4.4 L 5W30 C3 RN0720 / 20 NM</t>
  </si>
  <si>
    <t>4.1 L 5W30 C3 VW 507.00</t>
  </si>
  <si>
    <t>3.8 L 5W30 C3 / 34 NM</t>
  </si>
  <si>
    <t>4.3 L 5W40 DEXOS 2 / 20 NM</t>
  </si>
  <si>
    <t>psab712312 / 34 nm</t>
  </si>
  <si>
    <t>38 NM</t>
  </si>
  <si>
    <t>38 NM /</t>
  </si>
  <si>
    <t>8L 5W30 C4 RN0720 / 50 NM</t>
  </si>
  <si>
    <t>4.8L 5W30 C4 20NM</t>
  </si>
  <si>
    <t>5W30C3: 5,2L / 25NM</t>
  </si>
  <si>
    <t>6.2 L 5W30 C2 23nm</t>
  </si>
  <si>
    <t>40NM</t>
  </si>
  <si>
    <t>5W30 C2, 3,9L 38NM</t>
  </si>
  <si>
    <t>37 NM / 4,2 L API SL</t>
  </si>
  <si>
    <t>4.5L 5W30 C3 MB 229.51 / 25NM</t>
  </si>
  <si>
    <t>psab712290 / 25 nm</t>
  </si>
  <si>
    <t>5L PSA B712312 / 34 NM</t>
  </si>
  <si>
    <t>3.8 L 5W30 C2 /</t>
  </si>
  <si>
    <t>4.1L 5W40 RN0710</t>
  </si>
  <si>
    <t>4.8L RN0720 FOURNI PAR LE CLIENT / 20 NM</t>
  </si>
  <si>
    <t>0w30 3,5L psa b712312 / 20 nm tole:30nm</t>
  </si>
  <si>
    <t>.8 L 5W30 C3 VW 507.00 / 30 NM</t>
  </si>
  <si>
    <t>3.7 L 0W20 RC / 38 NM</t>
  </si>
  <si>
    <t>4.1L 5W30 C3 30NM</t>
  </si>
  <si>
    <t>0W30 5L PSAB712312 34NM</t>
  </si>
  <si>
    <t>50 NM</t>
  </si>
  <si>
    <t>23NM / psa b712290</t>
  </si>
  <si>
    <t>3.8L 5W30 C2 / 34 NM</t>
  </si>
  <si>
    <t>psa b712312 / 34 nm</t>
  </si>
  <si>
    <t>5.9L 5W30 C1 STLJR.03.5005</t>
  </si>
  <si>
    <t>3,75L OW30 C2 psa b712312 / 34NM</t>
  </si>
  <si>
    <t>3.4 L 5W30 VW 504.00 / 507.00 / 30 NM</t>
  </si>
  <si>
    <t>VW 507,00 / 30 NM</t>
  </si>
  <si>
    <t>3.6 L XTS 5W30 A5 / 39 NM</t>
  </si>
  <si>
    <t>20NM / RN0720</t>
  </si>
  <si>
    <t>PSA B712312 / 34 NM</t>
  </si>
  <si>
    <t>3.5 L 0W30 C2 PSA B712312 / 20 OU 42 NM</t>
  </si>
  <si>
    <t>5W30 RN0720 4.8</t>
  </si>
  <si>
    <t>4,5 L 5W30 C4 /</t>
  </si>
  <si>
    <t>5.3 L 5W30 C3 / 40 NM</t>
  </si>
  <si>
    <t>3.8 L 0W30 C2 PSA B712312 / 34 NM</t>
  </si>
  <si>
    <t>3.3L 5W30 C2 42NM</t>
  </si>
  <si>
    <t>API SL / 40 NM</t>
  </si>
  <si>
    <t>5L 5W30 C2 34NM</t>
  </si>
  <si>
    <t>4,3 L 5W40 RN0710</t>
  </si>
  <si>
    <t>4L 5W40 VW 504.00/ 30NM</t>
  </si>
  <si>
    <t>4.6L 5W40 RN0710</t>
  </si>
  <si>
    <t>5L XTS 5W40 GM-LL-B-025 / ALU: 20NM / ACIER: 78NM</t>
  </si>
  <si>
    <t>3.8 L 0W30 PSA B712312 / 34 NM</t>
  </si>
  <si>
    <t>5W30 C2 4,1L 50NM?</t>
  </si>
  <si>
    <t>4.1L 5W40 / 50 NM</t>
  </si>
  <si>
    <t>4,1L 5W40 RN710</t>
  </si>
  <si>
    <t>3F /30 NM</t>
  </si>
  <si>
    <t>5W40 4,3L RN0710 50NM</t>
  </si>
  <si>
    <t>5W30C2:3,1L psab712290</t>
  </si>
  <si>
    <t>3.8 L 5W30 C3 MANNOL / 34 NM</t>
  </si>
  <si>
    <t>4.7L 5W30 C3 30NM</t>
  </si>
  <si>
    <t>4.7L 5W30 C3 VW507.00 / 30NM</t>
  </si>
  <si>
    <t>3.5L 0W30 C2 C3 / ALU:20NM / ACIER: 42NM PSA B 712312</t>
  </si>
  <si>
    <t>4.8L 5W30 C4 RN0720 / 20 NM</t>
  </si>
  <si>
    <t>4,1 L 5W40 RN0710 / 50NM</t>
  </si>
  <si>
    <t>5W30C3:4,8L / 40 NM</t>
  </si>
  <si>
    <t>3.5 L 0W30 C2 PSA B712312</t>
  </si>
  <si>
    <t>34 NM / PSA B712312</t>
  </si>
  <si>
    <t>6.6L 0W30 C2 42 NM</t>
  </si>
  <si>
    <t>3.8L 0W30C2 PSA B712312 / 34 NM</t>
  </si>
  <si>
    <t>5L 0W30 C2 LIQUI MOLY / 25 NM</t>
  </si>
  <si>
    <t>4,8L 5W30 C4 RN0720 / 20NM</t>
  </si>
  <si>
    <t>3.8 0W30 C2 LIQUI MOLY / 34 NM</t>
  </si>
  <si>
    <t>psa b712312 / 34 NM</t>
  </si>
  <si>
    <t>25 NM / RN 0700</t>
  </si>
  <si>
    <t>3.75 L 0W30 C2 psa b712312</t>
  </si>
  <si>
    <t>34 NM /</t>
  </si>
  <si>
    <t>vw507.00 / 30 NM</t>
  </si>
  <si>
    <t>RN0700 / 25 NM</t>
  </si>
  <si>
    <t>3,8 L 0W30 C2 psa b712312 / 34 NM</t>
  </si>
  <si>
    <t>3,4L 10W40 25NM</t>
  </si>
  <si>
    <t>4L 5W30 C3 VW 504.00 / 30 NM</t>
  </si>
  <si>
    <t>3.8 L PSA B712312 / ALU: 20NM / ACIER:30NM</t>
  </si>
  <si>
    <t>ACEA A5 / 40 NM</t>
  </si>
  <si>
    <t>4.1L 5W30 C4 (CLIENT) / 50nm</t>
  </si>
  <si>
    <t>3,8L 5W40 VW 505,01/ 30NM</t>
  </si>
  <si>
    <t>4.6 L 10W40 / 50NM acea a3/b4</t>
  </si>
  <si>
    <t>6.6L 0W30 C2 PSA B71-2312 / 42NM</t>
  </si>
  <si>
    <t>3.5 L 0W20 RC API SM /</t>
  </si>
  <si>
    <t>4.6 L 5W40 ACEA A3+B4 / 50 NM</t>
  </si>
  <si>
    <t>5.2 L 5W30 C2 CLIENT / 25 NM</t>
  </si>
  <si>
    <t>3.5 L 0W30 C2 psa b712312 / 20 NM</t>
  </si>
  <si>
    <t>4.1 L (client ) / 50 NM</t>
  </si>
  <si>
    <t>25 NM / BMW LL17</t>
  </si>
  <si>
    <t>3.5 L 0W30 C2 psa b712312 / ALU: 20 NM</t>
  </si>
  <si>
    <t>3.5 L 0W30 C2 MANNOL / 42 NM</t>
  </si>
  <si>
    <t>7,4 L 5W30 C4 RN0720 / 50 NM</t>
  </si>
  <si>
    <t>3.8 L 0W30 C2 LIQUI MOLLY / 34 NM</t>
  </si>
  <si>
    <t>3.8 L 0W30 C2 psab712312 / 34 NM</t>
  </si>
  <si>
    <t>3.5 L PSA B712312 / 42 NM</t>
  </si>
  <si>
    <t>34 NM / psa b712312</t>
  </si>
  <si>
    <t>4.3 L 10W40 / 40 NM</t>
  </si>
  <si>
    <t>3.75L 0W30 C2 / 34 NM</t>
  </si>
  <si>
    <t>7.4 L 5W30 C2 / 34 NM</t>
  </si>
  <si>
    <t>3.8 L 0W30 C2 BENZOL / 34 NM</t>
  </si>
  <si>
    <t>6L 5W40 MB229.31/30NM</t>
  </si>
  <si>
    <t>4.4 L 0W30 C2 / 28 NM</t>
  </si>
  <si>
    <t>6.6 L 0W30 C2 / 42 NM</t>
  </si>
  <si>
    <t>3.8 L0W30 C2 / 34 NM</t>
  </si>
  <si>
    <t>2.9L 5W40 FOURNI PAR LE CLIENT / 40 NM</t>
  </si>
  <si>
    <t>5W30 C3 4,7L 30NM</t>
  </si>
  <si>
    <t>4.3 L HUILE FOURNI PAR LE CLIENT</t>
  </si>
  <si>
    <t>5L 0W30 C2 /</t>
  </si>
  <si>
    <t>3.5L OW30 C2 PSA B71 2312 ALU: 20MM / ACIER 42MM</t>
  </si>
  <si>
    <t>JAUNE: 9.8 L 0W30 F / 39 NM</t>
  </si>
  <si>
    <t>6L 0W30 ACEA C2/C3 /</t>
  </si>
  <si>
    <t>4. 0W30 RC PSA B712010 / 34 NM</t>
  </si>
  <si>
    <t>4L 5W30 WV 504.00 / 30 NM</t>
  </si>
  <si>
    <t>5.2 L 0W20 VCC RBS0-2AE / 38 NM</t>
  </si>
  <si>
    <t>2.8 L5W30 C3 BENZOL / 30 NM</t>
  </si>
  <si>
    <t>3,4 L 5W40 VW 502,00</t>
  </si>
  <si>
    <t>4.1 L RN0710 / 50 NM</t>
  </si>
  <si>
    <t>4L 0W20RC psa b712010 / 30 ou 42 NM</t>
  </si>
  <si>
    <t>VW 504.00 / 30 NM</t>
  </si>
  <si>
    <t>4.6 L WSS M2C948B</t>
  </si>
  <si>
    <t>4.8L 5W30 C4 RN0720 / 25 NM</t>
  </si>
  <si>
    <t>30NM 5,5L 0W30</t>
  </si>
  <si>
    <t>0w20fe: 4L / 34 Nm</t>
  </si>
  <si>
    <t>4.8 L 5W30 RN0720</t>
  </si>
  <si>
    <t>3.8 L XTS 5W30 / 25 NM</t>
  </si>
  <si>
    <t>4L 0W30 C2/C3 FOURNI PAR LE CLIENT</t>
  </si>
  <si>
    <t>3.3L 0W30 C2/C3 MANNOL / 42 NM</t>
  </si>
  <si>
    <t>5W30 C3 30NM 8 OU 11L</t>
  </si>
  <si>
    <t>4,13 L 5W40 C3 MANNOL / 50 NM</t>
  </si>
  <si>
    <t>0W20RC:3,3L PSAB702010</t>
  </si>
  <si>
    <t>4.15L 5W30 MANNOL /</t>
  </si>
  <si>
    <t>4,5 L 5W30 C4 RN0720 / 20 NM</t>
  </si>
  <si>
    <t>5.9 L 5W30 RN 17 CASTROL / 25 NM</t>
  </si>
  <si>
    <t>4L 0W30 ACEA C2 C3 / 30 OU 42NM</t>
  </si>
  <si>
    <t>30 ou 42 nm</t>
  </si>
  <si>
    <t>5L 5W30 RN17 ELF / 25NM</t>
  </si>
  <si>
    <t>5.7L 0W20R RN17 / 25 NM</t>
  </si>
  <si>
    <t>4L 0W20 RC PSA B712010 34NM</t>
  </si>
  <si>
    <t>0W30 C2,C3 MANNOL / 42 NM</t>
  </si>
  <si>
    <t>3.25L PSA B71 2010 fournit par le client / 42NM</t>
  </si>
  <si>
    <t>42 NM</t>
  </si>
  <si>
    <t>3.25 0W30 C2 MANNOL / 42 NM</t>
  </si>
  <si>
    <t>RN17 / 25 NM</t>
  </si>
  <si>
    <t>4.7 L 5W30 C3 BENZOL / 25 NM</t>
  </si>
  <si>
    <t>3.5L 0W30 C2 PSA B712312 / ALU: 20NM ACIER: 42NM</t>
  </si>
  <si>
    <t>4L PSA B712010 / 2parties:30 NM ou 42NM</t>
  </si>
  <si>
    <t>3.7 L 5W40 FANFARO / 50 NM</t>
  </si>
  <si>
    <t>psa b712010 / 34 nm</t>
  </si>
  <si>
    <t>5.4L 5W30 ACEA C3</t>
  </si>
  <si>
    <t>6.1 à 6.5 L 5W30 C3 MB229.51 / 30 NM</t>
  </si>
  <si>
    <t>4.4 L ACEA C2, C3 / 40 NM</t>
  </si>
  <si>
    <t>3.8 L 0W20 FE VW 508.00 / 30 NM</t>
  </si>
  <si>
    <t>10W40 4,2L XNM</t>
  </si>
  <si>
    <t>5.75L 0W20 RC</t>
  </si>
  <si>
    <t>8L 5W30 C4 / 50 NM</t>
  </si>
  <si>
    <t>4.2L 0W20 FE API SL / 37 NM</t>
  </si>
  <si>
    <t>4L 0W20 RC / 34 NM</t>
  </si>
  <si>
    <t>11.5 L 5W30 C4 MB 229.51 / 30 NM</t>
  </si>
  <si>
    <t>GRISE: 8.3 L / JAUNE: 9.8 L 0W30F / 39 NM</t>
  </si>
  <si>
    <t>6.8 L 0W30 MB 229.52 LIQUI MOLY /</t>
  </si>
  <si>
    <t>4L FOURNI PAR LE CLIENT</t>
  </si>
  <si>
    <t>psa b712010 / 42 nm</t>
  </si>
  <si>
    <t>5w30 c4 4,5l 20 NM</t>
  </si>
  <si>
    <t>4L 5W40 VW502.00 30NM</t>
  </si>
  <si>
    <t>5.8 L 0W20FE / 30 NM</t>
  </si>
  <si>
    <t>4L 0W30 C2 LIQUI MOLY / 34 NM</t>
  </si>
  <si>
    <t>3.95 OU 5.3 L 0W30 C2 LIQUI MOLY</t>
  </si>
  <si>
    <t>3.8 XTS 5W30 / 25 NM</t>
  </si>
  <si>
    <t>34 NM / PSA B712010</t>
  </si>
  <si>
    <t>0W20RC 3.5L PSA B712010</t>
  </si>
  <si>
    <t>0W20R: 4,2L / 50 NM</t>
  </si>
  <si>
    <t>5.5 L 5W30 RN17 ELF / 50 NM</t>
  </si>
  <si>
    <t>RN0700 / 14 NM</t>
  </si>
  <si>
    <t>3.6 L XTS 5W30 ACEA A5 / 40 NM</t>
  </si>
  <si>
    <t>19.8MM OU 21.8MM</t>
  </si>
  <si>
    <t>266mm: 20 mm</t>
  </si>
  <si>
    <t>283 MM : 24MM</t>
  </si>
  <si>
    <t>266:20 302:24 323:26</t>
  </si>
  <si>
    <t>19,8 OU 21,8</t>
  </si>
  <si>
    <t>A VOIR DIMMENTION</t>
  </si>
  <si>
    <t>P: 11MM V: 20 ou 24MM</t>
  </si>
  <si>
    <t>20 MM OU 24 MM</t>
  </si>
  <si>
    <t>A VOIR DIMENSIONS</t>
  </si>
  <si>
    <t>10,6 OU 17,6 MM</t>
  </si>
  <si>
    <t>7,5 MM OU TAMBOUR</t>
  </si>
  <si>
    <t>6MM</t>
  </si>
  <si>
    <t>7.3MM</t>
  </si>
  <si>
    <t>249mm: 7 mm</t>
  </si>
  <si>
    <t>8,4MM / 90 NM / 30 NM</t>
  </si>
  <si>
    <t>249 MM : 7MM</t>
  </si>
  <si>
    <t>plein:10 / ventilés: 20</t>
  </si>
  <si>
    <t>PEUGOT</t>
  </si>
  <si>
    <t>Range Rover</t>
  </si>
  <si>
    <t>207 - 22/09/2008</t>
  </si>
  <si>
    <t>RAV 4 - 10/2009</t>
  </si>
  <si>
    <t>YARIS 25/09/2009</t>
  </si>
  <si>
    <t>COROLLA 5/12/2006</t>
  </si>
  <si>
    <t>DUSTER 29/12/2010</t>
  </si>
  <si>
    <t>C2 - 27/05/2005</t>
  </si>
  <si>
    <t>207+</t>
  </si>
  <si>
    <t>POLO 5 05/04/2011</t>
  </si>
  <si>
    <t>CLIO 3 - 28/12/2007</t>
  </si>
  <si>
    <t>AGILA 12-2000</t>
  </si>
  <si>
    <t>JUKE 15/12/2011</t>
  </si>
  <si>
    <t>ASX 12/07/2012</t>
  </si>
  <si>
    <t>SPRINTER III</t>
  </si>
  <si>
    <t>208 - 4/03/2013</t>
  </si>
  <si>
    <t>CADDY - 7/2013</t>
  </si>
  <si>
    <t>208 - 13/11/2013</t>
  </si>
  <si>
    <t>CLIO 4 - 27/12/2013</t>
  </si>
  <si>
    <t>JAZZ 23/01/2008</t>
  </si>
  <si>
    <t>YARIS 3/02/2014</t>
  </si>
  <si>
    <t>DOKKER - 16/07/2014</t>
  </si>
  <si>
    <t>208 26/09/2014</t>
  </si>
  <si>
    <t>CLIO 4 - 30/10/2014</t>
  </si>
  <si>
    <t>C3 25/03/2015</t>
  </si>
  <si>
    <t>PARTNER 27/05/2015</t>
  </si>
  <si>
    <t>POLO - 2/08/2007</t>
  </si>
  <si>
    <t>YARIS - 19/06/2015</t>
  </si>
  <si>
    <t>208 - 24/06/2015</t>
  </si>
  <si>
    <t>208 1/07/2015</t>
  </si>
  <si>
    <t>BERLINGO 18/09/2015</t>
  </si>
  <si>
    <t>Evoque</t>
  </si>
  <si>
    <t>POLO 5 - 11/09/2015</t>
  </si>
  <si>
    <t>JAZZ 9/04/2009</t>
  </si>
  <si>
    <t>208 - 9/10/2015</t>
  </si>
  <si>
    <t>CLIO 4 23/02/2016</t>
  </si>
  <si>
    <t>IX35 - 1/2016</t>
  </si>
  <si>
    <t>BERLINGO 2-2016</t>
  </si>
  <si>
    <t>CORSA d</t>
  </si>
  <si>
    <t>208 24/10/2016</t>
  </si>
  <si>
    <t>YARIS - 29/12/2016</t>
  </si>
  <si>
    <t>CLIO 4 - 26/01/2017</t>
  </si>
  <si>
    <t>C4 2/02/2017</t>
  </si>
  <si>
    <t>208 - 22/02/2017</t>
  </si>
  <si>
    <t>MOKKA 2-2017</t>
  </si>
  <si>
    <t>JUKE 21/04/2017</t>
  </si>
  <si>
    <t>CAPTUR 1 - 30/05/2017</t>
  </si>
  <si>
    <t>PARTNER 29/06/2017</t>
  </si>
  <si>
    <t>2 COUPE 2/06/2017</t>
  </si>
  <si>
    <t>208 14/06/2017</t>
  </si>
  <si>
    <t>GOLF 7 - 9/2017</t>
  </si>
  <si>
    <t>JUKE 23/10/2017</t>
  </si>
  <si>
    <t>PICANTO - 12/2017</t>
  </si>
  <si>
    <t>JUKE - 12/12/2017</t>
  </si>
  <si>
    <t>RAV 4 - 15/12/2017</t>
  </si>
  <si>
    <t>C3 - 29/12/2017</t>
  </si>
  <si>
    <t>2008 - 19/03/2018</t>
  </si>
  <si>
    <t>208 - 20/02/2018</t>
  </si>
  <si>
    <t>BERLINGO 19/04/2018</t>
  </si>
  <si>
    <t>208 - 28/03/2018</t>
  </si>
  <si>
    <t>308 - 28/03/2018</t>
  </si>
  <si>
    <t>PARTNER 19/06/2018</t>
  </si>
  <si>
    <t>YARIS 8-2018</t>
  </si>
  <si>
    <t>XARA - 28/05/2008</t>
  </si>
  <si>
    <t>BOXER 1/10/2018</t>
  </si>
  <si>
    <t>Q2 - 31/08/2018</t>
  </si>
  <si>
    <t>C3 - 31/08/2018</t>
  </si>
  <si>
    <t>I10 - 24/09/2018</t>
  </si>
  <si>
    <t>PARTNER 29/10/2018</t>
  </si>
  <si>
    <t>MINI COOPER 8/11/2018</t>
  </si>
  <si>
    <t>3008 - 24/07/2018</t>
  </si>
  <si>
    <t>TRANSIT - 27/12/2018</t>
  </si>
  <si>
    <t>EXPERT 12/2018</t>
  </si>
  <si>
    <t>RIFTER 16/01/2019</t>
  </si>
  <si>
    <t>GOLF 7 - 8/02/2019</t>
  </si>
  <si>
    <t>XC60 - 24/01/2009</t>
  </si>
  <si>
    <t>108 - 19/02/2019</t>
  </si>
  <si>
    <t>CLIO 4 / 3/2019</t>
  </si>
  <si>
    <t>C3 - 12/03/2019</t>
  </si>
  <si>
    <t>ECOSPORT 2/2019</t>
  </si>
  <si>
    <t>KANGOO 6/03/2019</t>
  </si>
  <si>
    <t>CAPTUR DCI 19/04/2019</t>
  </si>
  <si>
    <t>FIESTA 5 - 5/03/2008</t>
  </si>
  <si>
    <t>KA + - 14/05/2019</t>
  </si>
  <si>
    <t>SCENIC 4 - 9/07/2019</t>
  </si>
  <si>
    <t>KADJAR 9/08/2019</t>
  </si>
  <si>
    <t>C3 - 9/2019</t>
  </si>
  <si>
    <t>C3 - 13/09/2019</t>
  </si>
  <si>
    <t>C3 13/09/2019</t>
  </si>
  <si>
    <t>SCENIC 4 - 17/10/2019</t>
  </si>
  <si>
    <t>308 - 09/2019</t>
  </si>
  <si>
    <t>TWINGO - 24/09/2019</t>
  </si>
  <si>
    <t>QASHQAI</t>
  </si>
  <si>
    <t>TUCSON / 12/2019</t>
  </si>
  <si>
    <t>POLO 6 01/2020</t>
  </si>
  <si>
    <t>MASTER 3/06/2020</t>
  </si>
  <si>
    <t>CHR 6/2020</t>
  </si>
  <si>
    <t>SPRINTER 6/2020</t>
  </si>
  <si>
    <t>TRANSIT 7-2020</t>
  </si>
  <si>
    <t>CLA 220D 30/07/2020</t>
  </si>
  <si>
    <t>208 - 31/07/2020</t>
  </si>
  <si>
    <t>JUMPY 11/09/2020</t>
  </si>
  <si>
    <t>2008 - 10/12/2020</t>
  </si>
  <si>
    <t>BERLINGO 26/11/2020</t>
  </si>
  <si>
    <t>I20 - 3/2016</t>
  </si>
  <si>
    <t>0710 RN0710</t>
  </si>
  <si>
    <t>948 B</t>
  </si>
  <si>
    <t>38 C</t>
  </si>
  <si>
    <t>OUI</t>
  </si>
  <si>
    <t>HS</t>
  </si>
  <si>
    <t>N/C</t>
  </si>
  <si>
    <t>TESTE A SUPPRIMER</t>
  </si>
  <si>
    <t>20/01/2024</t>
  </si>
  <si>
    <t>5W30 C2</t>
  </si>
  <si>
    <t>3.8L</t>
  </si>
  <si>
    <t>COMMENTAIRE</t>
  </si>
  <si>
    <t>INTERIEUR</t>
  </si>
  <si>
    <t>ALISON MOUGIN</t>
  </si>
  <si>
    <t>18/08/2016</t>
  </si>
  <si>
    <t>5W40</t>
  </si>
  <si>
    <t xml:space="preserve">4,1L </t>
  </si>
  <si>
    <t>19,8</t>
  </si>
  <si>
    <t>13/09/2024</t>
  </si>
  <si>
    <t xml:space="preserve">- KLAXON NON FONCTIONNEL </t>
  </si>
  <si>
    <t xml:space="preserve">- SOUFFLETS D'AMORTISSEURS AV DECHIRE </t>
  </si>
  <si>
    <t>EY030YA</t>
  </si>
  <si>
    <t>DISTRICOS</t>
  </si>
  <si>
    <t xml:space="preserve">5W30 C3 </t>
  </si>
  <si>
    <t>4.7 L VW 507.00</t>
  </si>
  <si>
    <t>28 MM OU 32 MM</t>
  </si>
  <si>
    <t xml:space="preserve">30 NM </t>
  </si>
  <si>
    <t>CC596HX</t>
  </si>
  <si>
    <t xml:space="preserve">SIV AUTO </t>
  </si>
  <si>
    <t>MEGANE 3</t>
  </si>
  <si>
    <t>21.8 MM OU 23.4 MM</t>
  </si>
  <si>
    <t>20/02/2024 16:39:25</t>
  </si>
  <si>
    <t>REMPLACEMENT POMPE A EAU D'AIR TURBO</t>
  </si>
  <si>
    <t>CC474VL</t>
  </si>
  <si>
    <t>GEREONE</t>
  </si>
  <si>
    <t>0692057300</t>
  </si>
  <si>
    <t>A3</t>
  </si>
  <si>
    <t>19/03/2012</t>
  </si>
  <si>
    <t>5W30 C3</t>
  </si>
  <si>
    <t>4.3 L VW 507.00</t>
  </si>
  <si>
    <t>30 NM</t>
  </si>
  <si>
    <t>BB312CG</t>
  </si>
  <si>
    <t>20/02/2024 15:06:03</t>
  </si>
  <si>
    <t>VILET CHRIS</t>
  </si>
  <si>
    <t>19 MM OU 22 MM</t>
  </si>
  <si>
    <t>20/02/2024 15:41:06</t>
  </si>
  <si>
    <t>KIT DISTRIBUTION</t>
  </si>
  <si>
    <t>POMPE A EAU</t>
  </si>
  <si>
    <t>COURROIE ACCESSOIRE</t>
  </si>
  <si>
    <t>VITRE COTE PASSAGE AVANT</t>
  </si>
  <si>
    <t>21/02/2024 09:27:57</t>
  </si>
  <si>
    <t xml:space="preserve">- PILE CLEF A VOIR </t>
  </si>
  <si>
    <t>- CONTROLE</t>
  </si>
  <si>
    <t xml:space="preserve">- AMPOULE A REMPLACER </t>
  </si>
  <si>
    <t>21/02/2024 09:47:42</t>
  </si>
  <si>
    <t xml:space="preserve">DOKKER </t>
  </si>
  <si>
    <t xml:space="preserve">- EMBRAYAGE </t>
  </si>
  <si>
    <t xml:space="preserve">- 75W80 API GL4 : 2.4L </t>
  </si>
  <si>
    <t>- Plateau de pression d'embrayage	15 Nm</t>
  </si>
  <si>
    <t>- COURROIE ACCESSOIRE + GALET TENDEU</t>
  </si>
  <si>
    <t>0692102508</t>
  </si>
  <si>
    <t>4.3L VW 507.00</t>
  </si>
  <si>
    <t xml:space="preserve">19/03/2012 </t>
  </si>
  <si>
    <t>21/02/2024 10:18:56</t>
  </si>
  <si>
    <t>212 810</t>
  </si>
  <si>
    <t>21/02/2024 11:22:36</t>
  </si>
  <si>
    <t xml:space="preserve">- SUPPORT MOTEUR COTE BOITE </t>
  </si>
  <si>
    <t xml:space="preserve">- 2 BIELETTE BARRE STAB </t>
  </si>
  <si>
    <t xml:space="preserve">- DISQUES AR LORS PROCHAINE PLAQUETTES </t>
  </si>
  <si>
    <t xml:space="preserve">- FUITE HUILE MOTEUR : NIVEAU AU MIN A L'ARRIVEE </t>
  </si>
  <si>
    <t>- REMPLACEMENT LIQUIDE DE FREIN</t>
  </si>
  <si>
    <t xml:space="preserve">- FEU DE PLAQUE AR G + CROISEMENT AV D </t>
  </si>
  <si>
    <t>280 MM : 19 MM</t>
  </si>
  <si>
    <t xml:space="preserve">255 MM : 8 MM </t>
  </si>
  <si>
    <t>21/02/2024 14:20:00</t>
  </si>
  <si>
    <t>21/02/2024 14:41:09</t>
  </si>
  <si>
    <t xml:space="preserve">- PNEU AV ABIME SOUS LE FLAN </t>
  </si>
  <si>
    <t xml:space="preserve">- FEU STOP DU MILIEU NON FONCTIONNEL </t>
  </si>
  <si>
    <t>AK996AM</t>
  </si>
  <si>
    <t>MOUNAVAR MASSA</t>
  </si>
  <si>
    <t>0692515251</t>
  </si>
  <si>
    <t>16/03/2007</t>
  </si>
  <si>
    <t>4.6 L RN0710</t>
  </si>
  <si>
    <t>17.7 MM</t>
  </si>
  <si>
    <t>21/02/2024 17:51:02</t>
  </si>
  <si>
    <t>- VIDANGE F.HUILE</t>
  </si>
  <si>
    <t xml:space="preserve">- 10L LIQUIDE REFROIDISSEMENT </t>
  </si>
  <si>
    <t xml:space="preserve">- CAPTEUR ABS ROUE AR G </t>
  </si>
  <si>
    <t>22/02/2024 07:49:36</t>
  </si>
  <si>
    <t>immat</t>
  </si>
  <si>
    <t>nom</t>
  </si>
  <si>
    <t>port</t>
  </si>
  <si>
    <t>marq</t>
  </si>
  <si>
    <t>model</t>
  </si>
  <si>
    <t>ref</t>
  </si>
  <si>
    <t>qte</t>
  </si>
  <si>
    <t>disque av</t>
  </si>
  <si>
    <t>arriere</t>
  </si>
  <si>
    <t>bouchon</t>
  </si>
  <si>
    <t>22/02/2024 11:15:57</t>
  </si>
  <si>
    <t>DJ550TB</t>
  </si>
  <si>
    <t>ISABELLE</t>
  </si>
  <si>
    <t>0693314857</t>
  </si>
  <si>
    <t xml:space="preserve">4,3 L </t>
  </si>
  <si>
    <t>22/02/2024 13:18:44</t>
  </si>
  <si>
    <t>- VOIR TRAIN AVANT</t>
  </si>
  <si>
    <t>AD446EE</t>
  </si>
  <si>
    <t>SAMI</t>
  </si>
  <si>
    <t>0693326645</t>
  </si>
  <si>
    <t>5W30</t>
  </si>
  <si>
    <t>5.2 L BMW LL04</t>
  </si>
  <si>
    <t xml:space="preserve">25 NM </t>
  </si>
  <si>
    <t>22/02/2024 15:02:29</t>
  </si>
  <si>
    <t xml:space="preserve">- LIQUIDE DE REFROIDSSEMENT </t>
  </si>
  <si>
    <t xml:space="preserve">- BRUIT EN PREMIERE </t>
  </si>
  <si>
    <t>22/02/2024 15:05:43</t>
  </si>
  <si>
    <t xml:space="preserve">- PROBLEME CHAUFFE MOTEUR </t>
  </si>
  <si>
    <t xml:space="preserve"> 4,8L </t>
  </si>
  <si>
    <t>22/03/2025</t>
  </si>
  <si>
    <t>18/05/1989</t>
  </si>
  <si>
    <t>23/02/2024 09:33:18</t>
  </si>
  <si>
    <t>159 115</t>
  </si>
  <si>
    <t>TRIANGLES AV + BIELLETTE BARRE STAB A REMPLACER</t>
  </si>
  <si>
    <t>PLAQUETTES ARRIERES</t>
  </si>
  <si>
    <t>FUITE MOTEUR: SUSPICION JOINT CACHE CULBUTEUR</t>
  </si>
  <si>
    <t>FUITE INJECTEUR</t>
  </si>
  <si>
    <t>FUITE JOINT CACHE CULBUTEUR</t>
  </si>
  <si>
    <t>BIELLETTE + SILENT BLOC BARRE STAB</t>
  </si>
  <si>
    <t>EMBRAYAGE A PREVOIR</t>
  </si>
  <si>
    <t>DERNIER DISTRI</t>
  </si>
  <si>
    <t>SALUT</t>
  </si>
  <si>
    <t>SA VA</t>
  </si>
  <si>
    <t>BIEN</t>
  </si>
  <si>
    <t>ET TOI</t>
  </si>
  <si>
    <t>OK</t>
  </si>
  <si>
    <t>PARE BRISE DU TOIT</t>
  </si>
  <si>
    <t>2</t>
  </si>
  <si>
    <t>ADil</t>
  </si>
  <si>
    <t>nom test</t>
  </si>
  <si>
    <t>port test</t>
  </si>
  <si>
    <t>marque tets</t>
  </si>
  <si>
    <t xml:space="preserve">model tets </t>
  </si>
  <si>
    <t xml:space="preserve">anne tets </t>
  </si>
  <si>
    <t xml:space="preserve">huile tets </t>
  </si>
  <si>
    <t xml:space="preserve">qte tes </t>
  </si>
  <si>
    <t xml:space="preserve">bouchon tets </t>
  </si>
  <si>
    <t>disque av tets</t>
  </si>
  <si>
    <t>arriere test</t>
  </si>
  <si>
    <t>RN0720</t>
  </si>
  <si>
    <t>5,1</t>
  </si>
  <si>
    <t>18/05/1986</t>
  </si>
  <si>
    <t>24/02/2024 21:23:37</t>
  </si>
  <si>
    <t>tyes</t>
  </si>
  <si>
    <t>1</t>
  </si>
  <si>
    <t>34</t>
  </si>
  <si>
    <t>5</t>
  </si>
  <si>
    <t>6</t>
  </si>
  <si>
    <t>7</t>
  </si>
  <si>
    <t>8</t>
  </si>
  <si>
    <t>9</t>
  </si>
  <si>
    <t>10</t>
  </si>
  <si>
    <t>CQ662QT</t>
  </si>
  <si>
    <t>HUTELIER</t>
  </si>
  <si>
    <t>06 92 69 60 46</t>
  </si>
  <si>
    <t>30/08/2006</t>
  </si>
  <si>
    <t xml:space="preserve">5W40 RN0710	</t>
  </si>
  <si>
    <t>4.5 L</t>
  </si>
  <si>
    <t>20NM</t>
  </si>
  <si>
    <t>26/02/2024 10:44:52</t>
  </si>
  <si>
    <t>- VOIR PROBLEME DEMARREUR</t>
  </si>
  <si>
    <t>BB447XL</t>
  </si>
  <si>
    <t>THIERCELIN PANAIS NICOLAS</t>
  </si>
  <si>
    <t>0693 97 30 76</t>
  </si>
  <si>
    <t>20/10/2010</t>
  </si>
  <si>
    <t>5W30 C2 RN0700</t>
  </si>
  <si>
    <t>4 L</t>
  </si>
  <si>
    <t>P: 10.6  / V: 19.8 MM</t>
  </si>
  <si>
    <t>26/02/2024 14:54:54</t>
  </si>
  <si>
    <t xml:space="preserve">- PLATEAU EMB: 23 NM </t>
  </si>
  <si>
    <t>- MOYEU AVANT: 280 NM</t>
  </si>
  <si>
    <t>75W80: 2.4 -3.3 L</t>
  </si>
  <si>
    <t>- 3EME FEUX DE STOP A COLLER SI POSSIBLE</t>
  </si>
  <si>
    <t>- ANTIVOL DE ROUES A ENLEVER</t>
  </si>
  <si>
    <t>FJ441QK</t>
  </si>
  <si>
    <t>L'ATELIER DE CUISINE</t>
  </si>
  <si>
    <t>06 92 38 32 38</t>
  </si>
  <si>
    <t>23/08/2019</t>
  </si>
  <si>
    <t>0W20 RC</t>
  </si>
  <si>
    <t>5.3 L</t>
  </si>
  <si>
    <t>27/02/2024 08:10:25</t>
  </si>
  <si>
    <t>- VOIR POUR COURROIE DE DISTRI: 1.5 BLUE HDI</t>
  </si>
  <si>
    <t>- PNEU ARRIERE A VOIR</t>
  </si>
  <si>
    <t>DK896XE</t>
  </si>
  <si>
    <t>13/10/2014</t>
  </si>
  <si>
    <t xml:space="preserve">5W40 C3 FANFARO </t>
  </si>
  <si>
    <t xml:space="preserve">3.4L </t>
  </si>
  <si>
    <t>19 OU 22MM</t>
  </si>
  <si>
    <t>27/02/2024 14:19:10</t>
  </si>
  <si>
    <t xml:space="preserve">- TRIANGLE LEGEREMENT ABIME </t>
  </si>
  <si>
    <t>BV959ND</t>
  </si>
  <si>
    <t>CLIO 2</t>
  </si>
  <si>
    <t>30/09/2004</t>
  </si>
  <si>
    <t>4.6 L / RN0710</t>
  </si>
  <si>
    <t xml:space="preserve">TAMBOUR </t>
  </si>
  <si>
    <t>27/02/2024 15:02:51</t>
  </si>
  <si>
    <t>27/02/2024 15:48:46</t>
  </si>
  <si>
    <t>28/06/2025</t>
  </si>
  <si>
    <t xml:space="preserve">- PLUS DE LIQUIDE DE FREIN BOUCHON DANS LE MOTEUR </t>
  </si>
  <si>
    <t>10W40 SHELL</t>
  </si>
  <si>
    <t xml:space="preserve">- JOINT SPY CARDAN </t>
  </si>
  <si>
    <t xml:space="preserve">- SILENT BLOC BARRE STABILISATRICE </t>
  </si>
  <si>
    <t>- SOUFFLET DE CARDAN AVANT DROITE COTE ROUE</t>
  </si>
  <si>
    <t>- FUITE MOTEUR NIVEAU DE LA DISTRIBUTRION</t>
  </si>
  <si>
    <t>- LES PNEUS SONT TROP VIEUX</t>
  </si>
  <si>
    <t>- VERRIN DE COFFRE A REMPLACER</t>
  </si>
  <si>
    <t>- LAVE GLACE A CONTROLER ( BOCAL BOUCHE OU MOTEUR)</t>
  </si>
  <si>
    <t>28/02/2024 08:18:35</t>
  </si>
  <si>
    <t>28/02/2024 08:24:22</t>
  </si>
  <si>
    <t>EQ411JS</t>
  </si>
  <si>
    <t>PAYET ISABELLE</t>
  </si>
  <si>
    <t>0692 87 89 73</t>
  </si>
  <si>
    <t>21/08/2002</t>
  </si>
  <si>
    <t>4.3L VW507.00</t>
  </si>
  <si>
    <t>20 OU 23 MM</t>
  </si>
  <si>
    <t>28/02/2024 08:45:50</t>
  </si>
  <si>
    <t xml:space="preserve">- VIDANGE BOITE : 75W80 MTF + ANTI USURE </t>
  </si>
  <si>
    <t xml:space="preserve">- JEU DANS LA DIRECTION A VOIR </t>
  </si>
  <si>
    <t>DA242EQ</t>
  </si>
  <si>
    <t>LAGUENY</t>
  </si>
  <si>
    <t>0692 11 07 46</t>
  </si>
  <si>
    <t>CLASSSE C</t>
  </si>
  <si>
    <t>6.5 L MB229.51</t>
  </si>
  <si>
    <t>28/02/2024 09:02:08</t>
  </si>
  <si>
    <t>8,3</t>
  </si>
  <si>
    <t>109 116</t>
  </si>
  <si>
    <t>28/02/2024 15:35:06</t>
  </si>
  <si>
    <t xml:space="preserve">FUITE NIVEAU LIQUIDE DE REFROIDISSMENT </t>
  </si>
  <si>
    <t>VENTILATEUR</t>
  </si>
  <si>
    <t>28/11/2025</t>
  </si>
  <si>
    <t xml:space="preserve">- TRIANGLE DE SECURITE MANQUANT </t>
  </si>
  <si>
    <t>FF869WY</t>
  </si>
  <si>
    <t xml:space="preserve">PEUGEOT </t>
  </si>
  <si>
    <t>30/04/2019</t>
  </si>
  <si>
    <t xml:space="preserve">4 L FPW 9.55535/03 </t>
  </si>
  <si>
    <t>29/02/2024 11:11:18</t>
  </si>
  <si>
    <t>62 162</t>
  </si>
  <si>
    <t xml:space="preserve">- CAPTEUR DE RADAR AVANT DROIT FIXER </t>
  </si>
  <si>
    <t>AC133FW</t>
  </si>
  <si>
    <t xml:space="preserve">JULIETTE ROGER </t>
  </si>
  <si>
    <t>0642 75 42 40</t>
  </si>
  <si>
    <t>31/07/2009</t>
  </si>
  <si>
    <t>3 L PSA B71 2290</t>
  </si>
  <si>
    <t>29/02/2024 14:42:24</t>
  </si>
  <si>
    <t>135 284</t>
  </si>
  <si>
    <t>16/11/2025</t>
  </si>
  <si>
    <t xml:space="preserve">- REVISION DEPASSEE DE 55 300 KMS </t>
  </si>
  <si>
    <t>- 4 L 0W30 C2 CASTROL FOURNI PAR LE CLIENT</t>
  </si>
  <si>
    <t>EZ830FG</t>
  </si>
  <si>
    <t xml:space="preserve">AUDIO + </t>
  </si>
  <si>
    <t>23/07/2018</t>
  </si>
  <si>
    <t>0W30 C2</t>
  </si>
  <si>
    <t>3.8 L PSA B71 2312</t>
  </si>
  <si>
    <t xml:space="preserve">34 NM </t>
  </si>
  <si>
    <t xml:space="preserve">10 MM </t>
  </si>
  <si>
    <t>29/02/2024 16:23:47</t>
  </si>
  <si>
    <t xml:space="preserve">- REVISION 4 FILTRES </t>
  </si>
  <si>
    <t>27/12/2025</t>
  </si>
  <si>
    <t xml:space="preserve">- REMPLACEMENT RADIATEUR </t>
  </si>
  <si>
    <t xml:space="preserve">- TEMOIN REVISION </t>
  </si>
  <si>
    <t xml:space="preserve">- REVISION DEPASSE DE 33 200 KMS </t>
  </si>
  <si>
    <t>GC131DC</t>
  </si>
  <si>
    <t xml:space="preserve">BERLINGO </t>
  </si>
  <si>
    <t>30/09/2021</t>
  </si>
  <si>
    <t>0W20RC</t>
  </si>
  <si>
    <t>DD424FT</t>
  </si>
  <si>
    <t>OCEANE</t>
  </si>
  <si>
    <t>0692 94 70 92</t>
  </si>
  <si>
    <t xml:space="preserve">CLIO 4 </t>
  </si>
  <si>
    <t>20/02/2014</t>
  </si>
  <si>
    <t>5W30 C4</t>
  </si>
  <si>
    <t xml:space="preserve">4.8 L </t>
  </si>
  <si>
    <t xml:space="preserve">TAMBOURS </t>
  </si>
  <si>
    <t xml:space="preserve">- CARDAN AVANT </t>
  </si>
  <si>
    <t>BW220AF</t>
  </si>
  <si>
    <t>KEVIN</t>
  </si>
  <si>
    <t>0692 75 79 07</t>
  </si>
  <si>
    <t xml:space="preserve">- REPARATION NEIMANE </t>
  </si>
  <si>
    <t>REMPLACEMENT CARDANS DROITE ET GAUCHE A LA DEMANDE DE LA</t>
  </si>
  <si>
    <t>CLIENTE</t>
  </si>
  <si>
    <t>2.4 L 75W80 GL-4</t>
  </si>
  <si>
    <t>13/10/2015</t>
  </si>
  <si>
    <t xml:space="preserve">5W30 C2 </t>
  </si>
  <si>
    <t xml:space="preserve">3.3 L </t>
  </si>
  <si>
    <t>DW570MQ</t>
  </si>
  <si>
    <t>92 438</t>
  </si>
  <si>
    <t xml:space="preserve">- REMPLACEMENT JOINTS VITRES ARRIERE GAUCHE ET DROITE </t>
  </si>
  <si>
    <t>- REVISION FILTRE A HUILE + AIR</t>
  </si>
  <si>
    <t>- PLAQUETTES AVANT CHANGES</t>
  </si>
  <si>
    <t>- PNEU AVANT ET ARRIERE A PREVOIR</t>
  </si>
  <si>
    <t>4,5L RN0720</t>
  </si>
  <si>
    <t xml:space="preserve">- COMODO CLIGNOTANT </t>
  </si>
  <si>
    <t>BZ276JT</t>
  </si>
  <si>
    <t>AVEO</t>
  </si>
  <si>
    <t>22/12/2011</t>
  </si>
  <si>
    <t xml:space="preserve">3.75 L </t>
  </si>
  <si>
    <t>10 NM</t>
  </si>
  <si>
    <t xml:space="preserve">- HUILE FOURNIT PAR LE CLIENT : </t>
  </si>
  <si>
    <t xml:space="preserve">- REVISION 3 FILTRES </t>
  </si>
  <si>
    <t xml:space="preserve">- FREIN </t>
  </si>
  <si>
    <t xml:space="preserve">- STABILITE </t>
  </si>
  <si>
    <t xml:space="preserve">- BRUIT AVANT DROIT </t>
  </si>
  <si>
    <t>EV418DA</t>
  </si>
  <si>
    <t>KEVNE JANCANA</t>
  </si>
  <si>
    <t>0693413431</t>
  </si>
  <si>
    <t>5W30 BMW LL04</t>
  </si>
  <si>
    <t>4L</t>
  </si>
  <si>
    <t>VOIR DIMENSION BOULON</t>
  </si>
  <si>
    <t>VOR DIMENSONS</t>
  </si>
  <si>
    <t>VOIR DIMENSIONS</t>
  </si>
  <si>
    <t>- REMPLACEMENT EMBRAYAGE FOURNI PAR LE CLIENT</t>
  </si>
  <si>
    <t>- 1.1 L 75W80 KENNOL FOURNI PAR LE CLENT</t>
  </si>
  <si>
    <t>- GROSSE FUITE D'HUILE + TEMOIN MOTEUR</t>
  </si>
  <si>
    <t>- ON A DU BOOSTE LE VEHICULE</t>
  </si>
  <si>
    <t>ABDULLA VALLI MAMODE MARAZIAKHATOUNE</t>
  </si>
  <si>
    <t>22/06/2020</t>
  </si>
  <si>
    <t>3,5L psab712010</t>
  </si>
  <si>
    <t>ALU: 20 / ACIER: 42 NM</t>
  </si>
  <si>
    <t>21/06/2024</t>
  </si>
  <si>
    <t>- REVISION DEPASSE DE 300 KMS</t>
  </si>
  <si>
    <t>0w20 RC</t>
  </si>
  <si>
    <t>TEST</t>
  </si>
  <si>
    <t>3</t>
  </si>
  <si>
    <t>4</t>
  </si>
  <si>
    <t>58</t>
  </si>
  <si>
    <t>85</t>
  </si>
  <si>
    <t>- FUITE LDR</t>
  </si>
  <si>
    <t xml:space="preserve">- BRUIT COURROIE ACC </t>
  </si>
  <si>
    <t>DY757RJ</t>
  </si>
  <si>
    <t>CONCEPT STYLE CARRELAGE</t>
  </si>
  <si>
    <t>0692 78 78 41</t>
  </si>
  <si>
    <t xml:space="preserve">5 L PSA B71 2290 </t>
  </si>
  <si>
    <t xml:space="preserve">- VOIR TEMOIN MOTEUR </t>
  </si>
  <si>
    <t>CZ327PE</t>
  </si>
  <si>
    <t>0692 21 64 02</t>
  </si>
  <si>
    <t xml:space="preserve">RENAULT </t>
  </si>
  <si>
    <t xml:space="preserve">CAPTUR </t>
  </si>
  <si>
    <t>16/10/2013</t>
  </si>
  <si>
    <t xml:space="preserve">4.1 L RN 0710 </t>
  </si>
  <si>
    <t>19.8 OU 21.8 MM</t>
  </si>
  <si>
    <t>- REV 3 F</t>
  </si>
  <si>
    <t>FN514YJ</t>
  </si>
  <si>
    <t>COMEL</t>
  </si>
  <si>
    <t>24/02/2020</t>
  </si>
  <si>
    <t xml:space="preserve">0W20 RC </t>
  </si>
  <si>
    <t>3.5 L PSA B71 2010</t>
  </si>
  <si>
    <t>ALU 20 ACIER 42 NM</t>
  </si>
  <si>
    <t>FE944RD</t>
  </si>
  <si>
    <t>19/03/2019</t>
  </si>
  <si>
    <t>5W30 LL CASTROL</t>
  </si>
  <si>
    <t>- VIDANGE + F.H</t>
  </si>
  <si>
    <t xml:space="preserve">- POINT DE CONTROLE </t>
  </si>
  <si>
    <t>DB011FD</t>
  </si>
  <si>
    <t>HOAREAU</t>
  </si>
  <si>
    <t>4.5L RN0720</t>
  </si>
  <si>
    <t>9,5</t>
  </si>
  <si>
    <t>15/03/2025</t>
  </si>
  <si>
    <t>SOUFFLET DE CARDAN COTE ROUE DROIT ET GAUCHE</t>
  </si>
  <si>
    <t>MOTEUR ESSUIE GLACE</t>
  </si>
  <si>
    <t>BALAI ESSUIE GLACE</t>
  </si>
  <si>
    <t>- TEMOIN AIRBAG</t>
  </si>
  <si>
    <t>- SOUFFLETS AMORTISSEUR AV H.S</t>
  </si>
  <si>
    <t>- BALAIS ESSUI GLACE AR H.S</t>
  </si>
  <si>
    <t xml:space="preserve">- ANTI BROUILLARD AR + MARCHE AR : PLATINE A CHANGER </t>
  </si>
  <si>
    <t>- GACHE DE COFFRE AR</t>
  </si>
  <si>
    <t xml:space="preserve">- MANQUE TRIANGLE DE SECURITE + GILET </t>
  </si>
  <si>
    <t>AR644JW</t>
  </si>
  <si>
    <t>BUISSON DE LARCHAUDY</t>
  </si>
  <si>
    <t>CV741VA</t>
  </si>
  <si>
    <t xml:space="preserve">EVO BTP </t>
  </si>
  <si>
    <t xml:space="preserve">PARTNER </t>
  </si>
  <si>
    <t>13/06/2013</t>
  </si>
  <si>
    <t>10W40</t>
  </si>
  <si>
    <t>3.8 L VALCO</t>
  </si>
  <si>
    <t xml:space="preserve">- PLAQUETTES AV + AR </t>
  </si>
  <si>
    <t xml:space="preserve">- F.H + F.A </t>
  </si>
  <si>
    <t>FG965CT</t>
  </si>
  <si>
    <t>K+ III</t>
  </si>
  <si>
    <t>15/05/2019</t>
  </si>
  <si>
    <t>5W20</t>
  </si>
  <si>
    <t>4.05 L LIQUI MOLY</t>
  </si>
  <si>
    <t>28 NM</t>
  </si>
  <si>
    <t xml:space="preserve">- CONSOMME DE L'HUILE </t>
  </si>
  <si>
    <t>- PNEU AVANT ABIMES</t>
  </si>
  <si>
    <t>DX167KJ</t>
  </si>
  <si>
    <t>BERNARD LUDOVIC</t>
  </si>
  <si>
    <t>0692 24 72 11</t>
  </si>
  <si>
    <t>18/11/2015</t>
  </si>
  <si>
    <t xml:space="preserve">0W30 </t>
  </si>
  <si>
    <t>5 L PSA B71 2312</t>
  </si>
  <si>
    <t xml:space="preserve">24 / 26 / 28 MM </t>
  </si>
  <si>
    <t xml:space="preserve">- HUILE BOITE : 5 L DEXTRON VI MANNOL </t>
  </si>
  <si>
    <t>FF213YX</t>
  </si>
  <si>
    <t>0692190792</t>
  </si>
  <si>
    <t>EXPERT</t>
  </si>
  <si>
    <t xml:space="preserve">6 L PSA B71 2312 </t>
  </si>
  <si>
    <t>- REVISION F.HUILE</t>
  </si>
  <si>
    <t xml:space="preserve">- REMPLACEMENT DISQUE + PLAQUETTE AR </t>
  </si>
  <si>
    <t xml:space="preserve">- F.HUILE </t>
  </si>
  <si>
    <t xml:space="preserve"> 4,7 L / VW 507,00</t>
  </si>
  <si>
    <t xml:space="preserve">- CARDAN PAS LE BON MODELE </t>
  </si>
  <si>
    <t>31/05/2025</t>
  </si>
  <si>
    <t>- SUSPICION DE FUITE BOITE: NETTOYAGE FAIT A CONTROLER</t>
  </si>
  <si>
    <t>FL086SX</t>
  </si>
  <si>
    <t xml:space="preserve">HUYDAI </t>
  </si>
  <si>
    <t xml:space="preserve">4.4 L </t>
  </si>
  <si>
    <t>21.4 / 23 / 26.4 MM</t>
  </si>
  <si>
    <t>23 / 25 / 28 MM</t>
  </si>
  <si>
    <t>CM179EH</t>
  </si>
  <si>
    <t xml:space="preserve">SADON </t>
  </si>
  <si>
    <t>UP</t>
  </si>
  <si>
    <t>25/10/2012</t>
  </si>
  <si>
    <t>3.4 L  VW 504.00</t>
  </si>
  <si>
    <t>ET230YD</t>
  </si>
  <si>
    <t>SUZUKI</t>
  </si>
  <si>
    <t>SWIFT V</t>
  </si>
  <si>
    <t>35 NM</t>
  </si>
  <si>
    <t xml:space="preserve">15 / 18 / 22 MM </t>
  </si>
  <si>
    <t xml:space="preserve">8 MM </t>
  </si>
  <si>
    <t>23/10/2024</t>
  </si>
  <si>
    <t xml:space="preserve">XTS 5W30 </t>
  </si>
  <si>
    <t>2.9 - 3.4 L API : SL</t>
  </si>
  <si>
    <t>- TEMOINS ABS: capteur ABS ARRI7RE D/G</t>
  </si>
  <si>
    <t>- bruit têtes amortisseurs</t>
  </si>
  <si>
    <t>- 3 AMPOULES CHANGES: 1 clignotant droit et 2 feux de jour</t>
  </si>
  <si>
    <t>- REVISION 3F</t>
  </si>
  <si>
    <t>- BALAI ESSUIE GLACE ARRIERE</t>
  </si>
  <si>
    <t>- gras au niveau du filtre a huile/ nettoyage fait / a contrôler</t>
  </si>
  <si>
    <t>- essuie glace ar à remplacer</t>
  </si>
  <si>
    <t>BY270AE</t>
  </si>
  <si>
    <t>ALBERT ANTHONIO</t>
  </si>
  <si>
    <t>+33766496617</t>
  </si>
  <si>
    <t>31/01/2008</t>
  </si>
  <si>
    <t>3.8 L PSA B712290</t>
  </si>
  <si>
    <t>16 NM</t>
  </si>
  <si>
    <t>- VOIR PROBLEME FEUX</t>
  </si>
  <si>
    <t>- BRUIT TRAIN AVANT</t>
  </si>
  <si>
    <t>- VOYANT</t>
  </si>
  <si>
    <t xml:space="preserve">- ODEUR D'ESSENCE </t>
  </si>
  <si>
    <t>- EMBRAYAGE</t>
  </si>
  <si>
    <t xml:space="preserve">- LAVE GLACE AR </t>
  </si>
  <si>
    <t>IBRAHIM KIFNYA</t>
  </si>
  <si>
    <t>06 93 43 09 54</t>
  </si>
  <si>
    <t>29/12/2010</t>
  </si>
  <si>
    <t>4.5 L RN 0720 / 20 NM</t>
  </si>
  <si>
    <t>- problèmes injecteurs: 1 nettoyant injecteur + 1 dose stanadyne</t>
  </si>
  <si>
    <t>- pneus arrières craquelés</t>
  </si>
  <si>
    <t>CW327GZ</t>
  </si>
  <si>
    <t>27/06/2013</t>
  </si>
  <si>
    <t xml:space="preserve">6.2 - 10.1 L WSS M2C913D </t>
  </si>
  <si>
    <t>23 NM</t>
  </si>
  <si>
    <t>BA452FT</t>
  </si>
  <si>
    <t>JIMMY FEN SHONG</t>
  </si>
  <si>
    <t>21/09/2010</t>
  </si>
  <si>
    <t>5w30 c3</t>
  </si>
  <si>
    <t>5.3 l</t>
  </si>
  <si>
    <t>GA260SB</t>
  </si>
  <si>
    <t>13/07/2021</t>
  </si>
  <si>
    <t>0W20 FE</t>
  </si>
  <si>
    <t xml:space="preserve">5.5 L VW 509.00 </t>
  </si>
  <si>
    <t>23/24/28/32 MM</t>
  </si>
  <si>
    <t>- PLAQUETTES AVANT ET ARRIERE A CHANGER</t>
  </si>
  <si>
    <t xml:space="preserve">- ESSUIE GLACE ARRIERE BUSE NE FONCTIONNE PAS </t>
  </si>
  <si>
    <t xml:space="preserve">- REMPLACEMENT 3 BALAI ESSUIE GLACE </t>
  </si>
  <si>
    <t xml:space="preserve">- REMPLACEMENT 3 FEU STOP </t>
  </si>
  <si>
    <t xml:space="preserve">- DEBUT FUITE MOTEUR NIVEAU CACHE CULBUTEUR </t>
  </si>
  <si>
    <t xml:space="preserve">- CLIGNOTANT AR G NON FONCTIONNEL </t>
  </si>
  <si>
    <t xml:space="preserve">- CLIGNOTANT AV G CLIGNOTE TROP VITE </t>
  </si>
  <si>
    <t xml:space="preserve">- LUMIERE AVANT GAUCHE NON FONCTIONNEL </t>
  </si>
  <si>
    <t xml:space="preserve">- CONTROLE FUITE D'EAU </t>
  </si>
  <si>
    <t xml:space="preserve">3,75 L / PSA B712312 </t>
  </si>
  <si>
    <t xml:space="preserve">- CAPTEUR ABS </t>
  </si>
  <si>
    <t>- COURROIE ACCESSOIRE A CONTROLER PROCHAINE REVISION</t>
  </si>
  <si>
    <t>FR107VT</t>
  </si>
  <si>
    <t>FB056CX</t>
  </si>
  <si>
    <t>17/10/2018</t>
  </si>
  <si>
    <t xml:space="preserve">0W30 C2 </t>
  </si>
  <si>
    <t>3.3 L MANNOL</t>
  </si>
  <si>
    <t>208 1.5 L BLUE HDI</t>
  </si>
  <si>
    <t>17/07/2020</t>
  </si>
  <si>
    <t>4L MANNOL</t>
  </si>
  <si>
    <t xml:space="preserve"> - VIDANGE BOITE DE VITESSE + ANTI USURE</t>
  </si>
  <si>
    <t>- REMPLACMEENT GACHE DE COFFRE ARRIERE</t>
  </si>
  <si>
    <t>- 75W80: 1.9 L + VOIR MESSAGE POU PROCEDURE</t>
  </si>
  <si>
    <t>CR653AX</t>
  </si>
  <si>
    <t>IVAHA LAILIKA</t>
  </si>
  <si>
    <t>0692 89 52 96</t>
  </si>
  <si>
    <t>21/2/2013</t>
  </si>
  <si>
    <t>3.3 L PSA B712290</t>
  </si>
  <si>
    <t xml:space="preserve">7 MM </t>
  </si>
  <si>
    <t>DZ505LC</t>
  </si>
  <si>
    <t>MICHON J.LUC</t>
  </si>
  <si>
    <t xml:space="preserve">MODUS </t>
  </si>
  <si>
    <t>5W-40</t>
  </si>
  <si>
    <t>4.5 L RN0710</t>
  </si>
  <si>
    <t>21/08/2025</t>
  </si>
  <si>
    <t xml:space="preserve">- essuie glace AV et AR à remplacer </t>
  </si>
  <si>
    <t>- Trace d'huile un peu partout dans moteur, nettoyage fait à controler</t>
  </si>
  <si>
    <t>- révision dépassée de 3900 KMS</t>
  </si>
  <si>
    <t xml:space="preserve">- roulement AR à contrôler lors essaie sur route </t>
  </si>
  <si>
    <t xml:space="preserve">- VOYANT + ODEUR CARBURANT + EMBRAYAGE + LAVE GLACE AR </t>
  </si>
  <si>
    <t>2,6 L FIAT 9.55535.S2</t>
  </si>
  <si>
    <t>5W30C3 MANNOL</t>
  </si>
  <si>
    <t xml:space="preserve">4L  </t>
  </si>
  <si>
    <t>14 NM</t>
  </si>
  <si>
    <t>- EMBRAYAGE A VERIFIER</t>
  </si>
  <si>
    <t xml:space="preserve">- CONTRE VISITE </t>
  </si>
  <si>
    <t>25/01/2026</t>
  </si>
  <si>
    <t xml:space="preserve">- BALLAI ESSUIE GLACE AR A REMPLACER </t>
  </si>
  <si>
    <t>15//01/2025</t>
  </si>
  <si>
    <t xml:space="preserve">- FUITE MOTEUR : REFROIDISSEUR D'HUILE </t>
  </si>
  <si>
    <t>- PNEU AVANT CRAQUE</t>
  </si>
  <si>
    <t xml:space="preserve">- DOUTE SUR LE ROULEMENT AR G </t>
  </si>
  <si>
    <t>22/02/2024</t>
  </si>
  <si>
    <t>- FUITE AMORTISSEURS AVANT</t>
  </si>
  <si>
    <t>CE439ZD</t>
  </si>
  <si>
    <t>LEBEL</t>
  </si>
  <si>
    <t>+33 06 45 81 69 09</t>
  </si>
  <si>
    <t>MEGANE BERLINE</t>
  </si>
  <si>
    <t>4..5 L RN0720</t>
  </si>
  <si>
    <t>21.8 OU 23.4 MM</t>
  </si>
  <si>
    <t xml:space="preserve">- VOIR BRUIT </t>
  </si>
  <si>
    <t>DL025YD</t>
  </si>
  <si>
    <t xml:space="preserve">HATIM </t>
  </si>
  <si>
    <t>0693 82 93 10</t>
  </si>
  <si>
    <t>JAZZ 2</t>
  </si>
  <si>
    <t>5W30 XTS</t>
  </si>
  <si>
    <t>3.6 L ACEA : A1, A3, A5</t>
  </si>
  <si>
    <t xml:space="preserve">19 MM </t>
  </si>
  <si>
    <t xml:space="preserve">- radiateur </t>
  </si>
  <si>
    <t>AC811ZB</t>
  </si>
  <si>
    <t xml:space="preserve">ISABELE ALIDOR </t>
  </si>
  <si>
    <t>22/09/2009</t>
  </si>
  <si>
    <t xml:space="preserve">20 NM </t>
  </si>
  <si>
    <t>5W40 PI C3 CHAMPION</t>
  </si>
  <si>
    <t>4.6L VW505,01/ MB229,51</t>
  </si>
  <si>
    <t xml:space="preserve">- PLAQUETTES A CHANGER </t>
  </si>
  <si>
    <t xml:space="preserve">- REVISION F.H </t>
  </si>
  <si>
    <t xml:space="preserve">3.7 L </t>
  </si>
  <si>
    <t>DZ382CF</t>
  </si>
  <si>
    <t>FOCUS 3</t>
  </si>
  <si>
    <t>25/01/2016</t>
  </si>
  <si>
    <t>DL420KS</t>
  </si>
  <si>
    <t>X3</t>
  </si>
  <si>
    <t>31/10/2014</t>
  </si>
  <si>
    <t>5 L</t>
  </si>
  <si>
    <t>25.6 OU 27.6 MM</t>
  </si>
  <si>
    <t>17.6 MM</t>
  </si>
  <si>
    <t>- CONTRE VISITE : TIRANGLE AV</t>
  </si>
  <si>
    <t xml:space="preserve">- FUITE MOTEUR : TURBO </t>
  </si>
  <si>
    <t xml:space="preserve">- NIVEAU D'HUILE + BAS DU MINIMUM </t>
  </si>
  <si>
    <t xml:space="preserve">- JETS DES ESSUIES GLACE FONCTIONNENT PAS </t>
  </si>
  <si>
    <t xml:space="preserve">3.8 L  psab712290 </t>
  </si>
  <si>
    <t>FK943MK</t>
  </si>
  <si>
    <t>FIESTA 7</t>
  </si>
  <si>
    <t>30/09/2019</t>
  </si>
  <si>
    <t>5W30 MANNOL</t>
  </si>
  <si>
    <t>3.85 L ACEA A5 / B5</t>
  </si>
  <si>
    <t>9 MM OU TAMBOUR</t>
  </si>
  <si>
    <t>EP138DK</t>
  </si>
  <si>
    <t>4.8 L RN0720</t>
  </si>
  <si>
    <t>06 92 60 25 18</t>
  </si>
  <si>
    <t>3.8 L PSA B712312</t>
  </si>
  <si>
    <t>5W30 A5</t>
  </si>
  <si>
    <t>6.1 L CASTROL</t>
  </si>
  <si>
    <t>EH981DM</t>
  </si>
  <si>
    <t>ANITA VALLIMAMOD</t>
  </si>
  <si>
    <t xml:space="preserve">0692 92 48 37 </t>
  </si>
  <si>
    <t>VOLSKWAGEN</t>
  </si>
  <si>
    <t>30/11/2016</t>
  </si>
  <si>
    <t>4 L VW 504.00</t>
  </si>
  <si>
    <t>19/02/2026</t>
  </si>
  <si>
    <t>- VERRIN DE COFFRE H.S</t>
  </si>
  <si>
    <t>- LIQUIDE DE REFROIDISSEMENT AU MINIMUM</t>
  </si>
  <si>
    <t xml:space="preserve">- LIQUIDE DE FREIN A PURGER </t>
  </si>
  <si>
    <t>31/01/2026</t>
  </si>
  <si>
    <t xml:space="preserve">- DISQUE AVANT ET ARRIERE A PREVOIR </t>
  </si>
  <si>
    <t>FE299SW</t>
  </si>
  <si>
    <t>21/03/2019</t>
  </si>
  <si>
    <t>4.13 L</t>
  </si>
  <si>
    <t xml:space="preserve">50 NM </t>
  </si>
  <si>
    <t>13/11/2025</t>
  </si>
  <si>
    <t>5W40 CASTROL</t>
  </si>
  <si>
    <t>- FUITE D'HUILE AU NIVEAU DU FILTRE A HUILE A L'ARRIVEE DU VEH</t>
  </si>
  <si>
    <t>- DEBUT USURE TETES AMORTISSEURS AVANT</t>
  </si>
  <si>
    <t>14/11/2024</t>
  </si>
  <si>
    <t xml:space="preserve"> </t>
  </si>
  <si>
    <t>GT603MD</t>
  </si>
  <si>
    <t>BATOTEC</t>
  </si>
  <si>
    <t>0692 28 48 39</t>
  </si>
  <si>
    <t>MASTER</t>
  </si>
  <si>
    <t>15/09/2005</t>
  </si>
  <si>
    <t>10W40 XTC</t>
  </si>
  <si>
    <t>8.3 L B4</t>
  </si>
  <si>
    <t xml:space="preserve">- BOITIER D'EAU + AMORT D + DISTRI A VOIR + FEUX </t>
  </si>
  <si>
    <t>- CHANGEMENT PNEU AVANT A PREVOIR</t>
  </si>
  <si>
    <t>- GILET MANQUANT</t>
  </si>
  <si>
    <t>CW658MW</t>
  </si>
  <si>
    <t xml:space="preserve">JISHANE </t>
  </si>
  <si>
    <t>0693 03 85 77</t>
  </si>
  <si>
    <t xml:space="preserve">AURIS </t>
  </si>
  <si>
    <t>37 NM</t>
  </si>
  <si>
    <t>DV413XT</t>
  </si>
  <si>
    <t>DOUSSY LOC</t>
  </si>
  <si>
    <t xml:space="preserve">I20 2 </t>
  </si>
  <si>
    <t>22/09/2015</t>
  </si>
  <si>
    <t>3.6 L ACEA : A5</t>
  </si>
  <si>
    <t>44 NM</t>
  </si>
  <si>
    <t xml:space="preserve">- RECEPTEUR EMBRAYAGE + EMBRAYAGE </t>
  </si>
  <si>
    <t>4.2 L API : SL</t>
  </si>
  <si>
    <t xml:space="preserve">- DURITE TURBO </t>
  </si>
  <si>
    <t>6,6 L PSA B712312</t>
  </si>
  <si>
    <t xml:space="preserve">42 NM </t>
  </si>
  <si>
    <t>- DISQUE ARRIERE H.S</t>
  </si>
  <si>
    <t>- PURGE LIQUIDE DE REFROIDISSEMENT</t>
  </si>
  <si>
    <t xml:space="preserve">- VIDANGE A FAIRE </t>
  </si>
  <si>
    <t>- F.H</t>
  </si>
  <si>
    <t>16/10/2015</t>
  </si>
  <si>
    <t>3.8 L</t>
  </si>
  <si>
    <t>20/24/26 MM</t>
  </si>
  <si>
    <t>DW494PX</t>
  </si>
  <si>
    <t xml:space="preserve"> VOIR CONTRE VISITE</t>
  </si>
  <si>
    <t>FK910MH</t>
  </si>
  <si>
    <t>SIV</t>
  </si>
  <si>
    <t>3008 SUV</t>
  </si>
  <si>
    <t>30 (2 PARTIE) OU 42 NM</t>
  </si>
  <si>
    <t>CJ857WY</t>
  </si>
  <si>
    <t>CASSAM CHENAI</t>
  </si>
  <si>
    <t>AURIS HYBRIDE</t>
  </si>
  <si>
    <t>20/08/2021</t>
  </si>
  <si>
    <t>0W20 RC XTS</t>
  </si>
  <si>
    <t xml:space="preserve">4.2 L </t>
  </si>
  <si>
    <t>23 / 16 " : 25 MM</t>
  </si>
  <si>
    <t>7.5 MM</t>
  </si>
  <si>
    <t>- TEMOINS BATTERIE</t>
  </si>
  <si>
    <t xml:space="preserve">- CONTROLE </t>
  </si>
  <si>
    <t>DL159DS</t>
  </si>
  <si>
    <t>BERTRANT</t>
  </si>
  <si>
    <t>23/10/2014</t>
  </si>
  <si>
    <t>- REV 3F</t>
  </si>
  <si>
    <t>- TRIANGLE</t>
  </si>
  <si>
    <t>- 3 BOUGIE</t>
  </si>
  <si>
    <t xml:space="preserve">- DEMARREUR </t>
  </si>
  <si>
    <t xml:space="preserve">TRANSIT </t>
  </si>
  <si>
    <t>0W30F</t>
  </si>
  <si>
    <t xml:space="preserve">6.2 L  WSS M2C950A </t>
  </si>
  <si>
    <t>AW422GJ</t>
  </si>
  <si>
    <t>DIJOUX CINDY</t>
  </si>
  <si>
    <t>0692 66 13 84</t>
  </si>
  <si>
    <t>3.5 L API : SL</t>
  </si>
  <si>
    <t xml:space="preserve">- RADIATEUR </t>
  </si>
  <si>
    <t xml:space="preserve">- HUILE BOITE : 75W80 GL-4 / 1.9 L + ANTI USURE  </t>
  </si>
  <si>
    <t>- KIT EMBRAYAGE / COUPLE SERRAGE EMB : 20 NM</t>
  </si>
  <si>
    <t>- ROTULE TRIANGLE</t>
  </si>
  <si>
    <t>- 1 JOINT SPY CARDAN AV G</t>
  </si>
  <si>
    <t xml:space="preserve">- JOINT CACHE CULBUTEUR + POMPE A VIDE </t>
  </si>
  <si>
    <t>- PLAQUETTES AVANT PREVOIR CHANGEMENT 2/10</t>
  </si>
  <si>
    <t>- DISQUES + PLAQUETTES ARRIERE PREVOIR CHANGEMENT 3/10</t>
  </si>
  <si>
    <t>FG127CT</t>
  </si>
  <si>
    <t>14/05/2019</t>
  </si>
  <si>
    <t>5W30 LL</t>
  </si>
  <si>
    <t>2.9 L CASTROL</t>
  </si>
  <si>
    <t>- MANQUE 2 ENJOLIVEURS A L'AVANT</t>
  </si>
  <si>
    <t>- BRUIT AU NIVEAU DE LA COURROIE ACCESSOIRE ( ALTERNATEUR??)</t>
  </si>
  <si>
    <t>- EMBRAYAGE HAUT</t>
  </si>
  <si>
    <t>EW891LN</t>
  </si>
  <si>
    <t>FAUDRIN</t>
  </si>
  <si>
    <t>0692763615</t>
  </si>
  <si>
    <t>4.7L VW 507.00</t>
  </si>
  <si>
    <t>- PURGE LIQUIDE DE FREIN</t>
  </si>
  <si>
    <t>- VIDANGE F.H</t>
  </si>
  <si>
    <t>FY044CK</t>
  </si>
  <si>
    <t>JOUAN ALEXANDRE</t>
  </si>
  <si>
    <t>25/03/2021</t>
  </si>
  <si>
    <t>5.7 L C3</t>
  </si>
  <si>
    <t>AE087WD</t>
  </si>
  <si>
    <t>LES TOILES NOIRS</t>
  </si>
  <si>
    <t>0692146717</t>
  </si>
  <si>
    <t xml:space="preserve">IBIZA 3 </t>
  </si>
  <si>
    <t>4.2 L VW 507.00</t>
  </si>
  <si>
    <t>- BALAI ESSUI GLACE AR CHANGEES</t>
  </si>
  <si>
    <t>FK488HY</t>
  </si>
  <si>
    <t>25/09/2019</t>
  </si>
  <si>
    <t xml:space="preserve">10.6 MM PLEIN / 19.8 MM VENTILES </t>
  </si>
  <si>
    <t xml:space="preserve">- DISQUES AVANT A REMPLACER </t>
  </si>
  <si>
    <t xml:space="preserve">- RAJOUT LIQUIDE DE REFROIDISSEMENT </t>
  </si>
  <si>
    <t>AM775LV</t>
  </si>
  <si>
    <t>DAVID TAMAYA</t>
  </si>
  <si>
    <t>26/02/2010</t>
  </si>
  <si>
    <t xml:space="preserve">4.3 L </t>
  </si>
  <si>
    <t>- KLAXON FONCTIONNE PAS</t>
  </si>
  <si>
    <t>- FEU DE STOP ARD HS: LED</t>
  </si>
  <si>
    <t>- FUITE LIQUIDE LAVE GLAVE: SUSPICION BOCAL</t>
  </si>
  <si>
    <t>- BUSE ESSUIE GLACE ARRIERE BOUCHE + BALAI A REMPLACER</t>
  </si>
  <si>
    <t>- SOUFLLET CARDAN COTE ROUES DECHIRES</t>
  </si>
  <si>
    <t>- DISQUES AVANT A PREVOIR LORS PROCHAINE PLAQUETTES</t>
  </si>
  <si>
    <t>- BATEERIE A PREVOIR: 18 %</t>
  </si>
  <si>
    <t>- A VOIR DISTRIBUTION A ETE FAITES QUAND</t>
  </si>
  <si>
    <t>- AMORTISSEURS AVANT A REMPLACER</t>
  </si>
  <si>
    <t>- COFFRE ARRIERE DE S'OUVRE PAS</t>
  </si>
  <si>
    <t xml:space="preserve">- PURGE LIQUIDE FREIN A FAIRE </t>
  </si>
  <si>
    <t>-FEU DE PLAQUE DROIT / VEILLEUSE ARD / FEU DE STOP A REGLER</t>
  </si>
  <si>
    <t>- ROULEMENT ARRIERE A CONTROLER LORS TEST SUR ROUTE</t>
  </si>
  <si>
    <t>- LIQUIDE DE FREIN A MOITIE + REFROIDISSEMENT VIDE</t>
  </si>
  <si>
    <t>- EMBRAYAGE + DISTRIBUTION A VOIR</t>
  </si>
  <si>
    <t>- FUITE BOITE A VOIR</t>
  </si>
  <si>
    <t>- LAVE GLACE ARRIERE FONCTIONNE PAS</t>
  </si>
  <si>
    <t>- FEU DE PLAQUE DROIT + VEILLEUSE ARD + FEU DE STOP A REGLER</t>
  </si>
  <si>
    <t>- PURGE LIQUIDE DE FREIN A FAIRE</t>
  </si>
  <si>
    <t>- COFFRE ARRIERE NE S'OUVRE PAS</t>
  </si>
  <si>
    <t>- ROULEMENT ARRIERE A CONTROLER LORS TEST SUR ROUTE APR7S REMPLACEMENT EMBRAYAGE</t>
  </si>
  <si>
    <t>- CACHE POUSSIERE AMORTISSEURS ARRIERES ABIMES</t>
  </si>
  <si>
    <t>- SUPPORT MOTEUR A REMPLACER</t>
  </si>
  <si>
    <t>AC181TF</t>
  </si>
  <si>
    <t>SITARA BADORALI</t>
  </si>
  <si>
    <t>0693539324</t>
  </si>
  <si>
    <t>NOTE</t>
  </si>
  <si>
    <t>3.4 L</t>
  </si>
  <si>
    <t>- KLAXON + FEU DE STOP ARRIERE + VITRE ARG NE FONCTIONNE</t>
  </si>
  <si>
    <t>PAS AVEC LEVE VITRE COTE CONDUCTEUR</t>
  </si>
  <si>
    <t>- CONTROLE COMPLET DU VEHICULE</t>
  </si>
  <si>
    <t>AB046TF</t>
  </si>
  <si>
    <t>0692 62 29 37</t>
  </si>
  <si>
    <t>21.8 OU 19.8 MM</t>
  </si>
  <si>
    <t>CONTROLE TRAIN AVANT</t>
  </si>
  <si>
    <t>- 1 enjoliveur avant droit manquant</t>
  </si>
  <si>
    <t>- révision 4 filtres + remplacement boitier d'eau + essuie glace AV</t>
  </si>
  <si>
    <t>22/02/2016</t>
  </si>
  <si>
    <t>XTS 5W30</t>
  </si>
  <si>
    <t>3.85 L</t>
  </si>
  <si>
    <t>DZ981PQ</t>
  </si>
  <si>
    <t>500 X</t>
  </si>
  <si>
    <t>22 NM</t>
  </si>
  <si>
    <t xml:space="preserve">0W30 MS-FFE WOLF </t>
  </si>
  <si>
    <t>18/02/2026</t>
  </si>
  <si>
    <t xml:space="preserve">- VITRE ARRIERE GAUCHE S'OUVRE PAS AVEC BOUTTON LEVE VITRE CONDUCTEUR </t>
  </si>
  <si>
    <t xml:space="preserve">- KLAXONNE FONCTIONNE PAS </t>
  </si>
  <si>
    <t>- ROULEMENT ARRIERE DROIT A CONTROLER SUR ROUTE</t>
  </si>
  <si>
    <t xml:space="preserve">- MANQUE CRIQUE </t>
  </si>
  <si>
    <t>témoin moteur: chauffe moteur</t>
  </si>
  <si>
    <t>balai essuie glace avant à remplacer</t>
  </si>
  <si>
    <t>- Témoin moteur: chauffe moteur</t>
  </si>
  <si>
    <t>- balai essuie glace avant à remplacer</t>
  </si>
  <si>
    <t>DX667ET</t>
  </si>
  <si>
    <t>5.3 CASTROL</t>
  </si>
  <si>
    <t>- TEMOIN PNEU</t>
  </si>
  <si>
    <t>EW020SD</t>
  </si>
  <si>
    <t>NAZIR BADOURALY</t>
  </si>
  <si>
    <t xml:space="preserve">MINI </t>
  </si>
  <si>
    <t>MINI III COOPER</t>
  </si>
  <si>
    <t>19/04/2018</t>
  </si>
  <si>
    <t>4.3 L BMW LL04</t>
  </si>
  <si>
    <t>19.6 MM</t>
  </si>
  <si>
    <t>- révision 3 filtres</t>
  </si>
  <si>
    <t>- purge de frein</t>
  </si>
  <si>
    <t xml:space="preserve">- balai essuie glace </t>
  </si>
  <si>
    <t>- DOT 4: 3L</t>
  </si>
  <si>
    <t>DC905ME</t>
  </si>
  <si>
    <t>MOUSSA TAMADOUNI</t>
  </si>
  <si>
    <t>0692 88 10 07</t>
  </si>
  <si>
    <t>GRAND SCENIC 3</t>
  </si>
  <si>
    <t>27/01/2014</t>
  </si>
  <si>
    <t>4.5 L  RN0720</t>
  </si>
  <si>
    <t>21.8 / 23.4 / 28 MM</t>
  </si>
  <si>
    <t xml:space="preserve">- VOIR PROBELME DE DEMARRAGE </t>
  </si>
  <si>
    <t>06 88 06 55 33</t>
  </si>
  <si>
    <t xml:space="preserve"> 28/05/2008</t>
  </si>
  <si>
    <t xml:space="preserve">XARA </t>
  </si>
  <si>
    <t xml:space="preserve">3.8 L psa b712290 </t>
  </si>
  <si>
    <t>20/03/2026</t>
  </si>
  <si>
    <t>- PREVOIR CONTROLE DANS 15 JOURS</t>
  </si>
  <si>
    <t>22/12/2025</t>
  </si>
  <si>
    <t>- EMBRAYAGE + HUILE BOITE: 75W80 2.4 L + ANTI USURE</t>
  </si>
  <si>
    <t>- PLATEAU EMB: 23 NM</t>
  </si>
  <si>
    <t>- DECALAMINAGE MOTEUR</t>
  </si>
  <si>
    <t xml:space="preserve">- BATTERIE A REMPLACER: </t>
  </si>
  <si>
    <t>FP687GP</t>
  </si>
  <si>
    <t xml:space="preserve">MORIN </t>
  </si>
  <si>
    <t>0692313622</t>
  </si>
  <si>
    <t>C8</t>
  </si>
  <si>
    <t>26/12/2007</t>
  </si>
  <si>
    <t>5.2 L PSA B712290</t>
  </si>
  <si>
    <t>- VENTILATEUR A VOIR</t>
  </si>
  <si>
    <t xml:space="preserve">- CAPTEUR ARBRE A CAMES </t>
  </si>
  <si>
    <t xml:space="preserve">- CAPTEUR VILLEBREQUIN AVEC CIBLE VILLEBREQUIN </t>
  </si>
  <si>
    <t xml:space="preserve">- CONFIRMER TRIANGLE BON MODELE OU PAS </t>
  </si>
  <si>
    <t>FL303VF</t>
  </si>
  <si>
    <t xml:space="preserve">C5 </t>
  </si>
  <si>
    <t>26/11/2019</t>
  </si>
  <si>
    <t>DX460VY</t>
  </si>
  <si>
    <t>4 L CASTROL</t>
  </si>
  <si>
    <t xml:space="preserve">- A PREVOIR : PURGE LIQUIDE DE FREIN </t>
  </si>
  <si>
    <t xml:space="preserve">- A PREVOIR : AMORTISSEURS AVANT </t>
  </si>
  <si>
    <t>GR306BV</t>
  </si>
  <si>
    <t xml:space="preserve">POMPE A SABLE </t>
  </si>
  <si>
    <t xml:space="preserve">CLIO 2 </t>
  </si>
  <si>
    <t>13/12/2002</t>
  </si>
  <si>
    <t>0W30 XTS</t>
  </si>
  <si>
    <t xml:space="preserve">3.7 L ACEA A5 </t>
  </si>
  <si>
    <t>PLEIN 10.5 / VENTILE 27.7MM</t>
  </si>
  <si>
    <t>EY452ZP</t>
  </si>
  <si>
    <t>SAID DJAMILI</t>
  </si>
  <si>
    <t xml:space="preserve">2008 SUV </t>
  </si>
  <si>
    <t>3.75 L PSA : B712312</t>
  </si>
  <si>
    <t>- plaquettes AR: 4/10</t>
  </si>
  <si>
    <t>- TRIANGLES AVANT A REMPLACER</t>
  </si>
  <si>
    <t xml:space="preserve">- BRUIT GALET + CREMAILLERE DE DIRECTION </t>
  </si>
  <si>
    <t>CZ867WV</t>
  </si>
  <si>
    <t>GUEGUEN SAIDA</t>
  </si>
  <si>
    <t xml:space="preserve">0693 53 67 57 </t>
  </si>
  <si>
    <t>25/10/2013</t>
  </si>
  <si>
    <t xml:space="preserve">5W40 </t>
  </si>
  <si>
    <t>2.5 L Fiat 9.55535-S2</t>
  </si>
  <si>
    <t xml:space="preserve">9.55 MM PLEIN/ 10.2 MM VENTILE </t>
  </si>
  <si>
    <t>EH065NF</t>
  </si>
  <si>
    <t>MOKKA</t>
  </si>
  <si>
    <t>15/12/2016</t>
  </si>
  <si>
    <t>FG927CT</t>
  </si>
  <si>
    <t xml:space="preserve">FORD </t>
  </si>
  <si>
    <t>KA + 3</t>
  </si>
  <si>
    <t>5W20 E</t>
  </si>
  <si>
    <t>4.15 L CASTROL</t>
  </si>
  <si>
    <t>- Absorbeur de choc arrière droit cassé</t>
  </si>
  <si>
    <t xml:space="preserve">- BOUCHON DE VIDANGE FUIT </t>
  </si>
  <si>
    <t xml:space="preserve">- PLAQUETTE ARRIERE A PREVOIR </t>
  </si>
  <si>
    <t>FD202QT</t>
  </si>
  <si>
    <t>ALCHEMIR</t>
  </si>
  <si>
    <t>MICRA</t>
  </si>
  <si>
    <t>4.1L RN0710</t>
  </si>
  <si>
    <t>- BALAI ESSUIE-GLACE ARRIERE A REMPLACER</t>
  </si>
  <si>
    <t>- CACHE DU FILTRE HABITACLE MANQUANT</t>
  </si>
  <si>
    <t xml:space="preserve">- LIQUIDE DE REFROIDISSEMENT PLUS BAS QUE LE MINIMUM </t>
  </si>
  <si>
    <t>BJ719YF</t>
  </si>
  <si>
    <t xml:space="preserve">JEAN FESQUET </t>
  </si>
  <si>
    <t>0693 64 84 30</t>
  </si>
  <si>
    <t>18/11/2005</t>
  </si>
  <si>
    <t>5W40 XTS</t>
  </si>
  <si>
    <t xml:space="preserve">4.6 L RN0710 </t>
  </si>
  <si>
    <t xml:space="preserve">9.5 / 9 MM </t>
  </si>
  <si>
    <t xml:space="preserve">- REVISION 3F + FUITE D'HUITE </t>
  </si>
  <si>
    <t>BX846ES</t>
  </si>
  <si>
    <t>MONDEO</t>
  </si>
  <si>
    <t>5.5 L WSS M2C913D</t>
  </si>
  <si>
    <t>- EMBRAYAGE A REMPLACER</t>
  </si>
  <si>
    <t>- HUILE BOITE: 75W80: 1.8 L + ANTI USURE</t>
  </si>
  <si>
    <t>- VOLANT MOTEUR: 220 NM / 48 NM</t>
  </si>
  <si>
    <t>- PLATEAU EMB: 29 NM</t>
  </si>
  <si>
    <t>-</t>
  </si>
  <si>
    <t>ED479NZ</t>
  </si>
  <si>
    <t>30/06/2016</t>
  </si>
  <si>
    <t xml:space="preserve">REV + TRIANGLE AVANT + DISTRI + DISQUE ET PLAQ AV </t>
  </si>
  <si>
    <t xml:space="preserve">JOINT CACHE CULBUTEUR </t>
  </si>
  <si>
    <t xml:space="preserve">20 / 24 / 26 MM </t>
  </si>
  <si>
    <t>LEVE VITRE COTE CONDUCTEUR / COURROIE ACC</t>
  </si>
  <si>
    <t xml:space="preserve">CAPTIVA </t>
  </si>
  <si>
    <t xml:space="preserve">5.6 L  DEXOS 2 </t>
  </si>
  <si>
    <t xml:space="preserve">ROTULE DE DIRECTION / JEU SIEGE COTE CONDUCTEUR </t>
  </si>
  <si>
    <t>BRUIT FROTYEMENT AVANT DROIT</t>
  </si>
  <si>
    <t>CY796YW</t>
  </si>
  <si>
    <t xml:space="preserve">SAKIR ALI MAHOMED </t>
  </si>
  <si>
    <t xml:space="preserve">HYUNDAI </t>
  </si>
  <si>
    <t xml:space="preserve">IX35 </t>
  </si>
  <si>
    <t>26/08/2013</t>
  </si>
  <si>
    <t xml:space="preserve">5.3 L </t>
  </si>
  <si>
    <t xml:space="preserve">26.4 MM </t>
  </si>
  <si>
    <t xml:space="preserve">8.4 MM </t>
  </si>
  <si>
    <t xml:space="preserve">- TEMOINS AIR BAG </t>
  </si>
  <si>
    <t xml:space="preserve">- ESSUIE GLACE A REMPLACER </t>
  </si>
  <si>
    <t>- fuite moteur : joint cache culbuteur</t>
  </si>
  <si>
    <t xml:space="preserve">- bruit dans la distribution </t>
  </si>
  <si>
    <t xml:space="preserve">- essuie glace avant à remplacer </t>
  </si>
  <si>
    <t xml:space="preserve">EMILIE CHATELAY </t>
  </si>
  <si>
    <t>24/09/2010</t>
  </si>
  <si>
    <t>4 L RN0700</t>
  </si>
  <si>
    <t xml:space="preserve">19,8 MM </t>
  </si>
  <si>
    <t>DX181TA</t>
  </si>
  <si>
    <t xml:space="preserve">CITROEN </t>
  </si>
  <si>
    <t xml:space="preserve">DS3 </t>
  </si>
  <si>
    <t>30/11/2015</t>
  </si>
  <si>
    <t xml:space="preserve">3.8L CASTROL </t>
  </si>
  <si>
    <t>20 / 24 MM</t>
  </si>
  <si>
    <t>- CONTROLE + REVISION</t>
  </si>
  <si>
    <t>- FEU DE PLAQUE GAUCHE REMPLACE</t>
  </si>
  <si>
    <t>FW611WF</t>
  </si>
  <si>
    <t>CATHERINE SEVOU</t>
  </si>
  <si>
    <t>0693559020</t>
  </si>
  <si>
    <t xml:space="preserve">FIESTA 5 </t>
  </si>
  <si>
    <t>4.1 L WSS M2C913D</t>
  </si>
  <si>
    <t>BP224MA</t>
  </si>
  <si>
    <t>CSC TAMAYA</t>
  </si>
  <si>
    <t>XTS 5W40</t>
  </si>
  <si>
    <t>11 L   229.51</t>
  </si>
  <si>
    <t>PLEIN: 14 / VENTILE: 25 MM</t>
  </si>
  <si>
    <t xml:space="preserve">- NETTOYAGE MOTEUR : VOIR FUITE </t>
  </si>
  <si>
    <t>- fuite d'eau : distri + 3 ème cache culbuteur + joint pompe a vide +</t>
  </si>
  <si>
    <t>joint injecteur + joint cache culbuteur + joint spy arbre a cames +</t>
  </si>
  <si>
    <t>durite retour injecteur ( non récupérable lors du démontage) +</t>
  </si>
  <si>
    <t xml:space="preserve">boitier d'eau + support moteur inf + revision 4 filtres </t>
  </si>
  <si>
    <t>- triangles + biellettes barre stab + rotules de direction +</t>
  </si>
  <si>
    <t>plaquettes AV + amortisseurs AV</t>
  </si>
  <si>
    <t xml:space="preserve">- fuite gasoil : durite gasoil remplacée </t>
  </si>
  <si>
    <t>REVISION 4 FILTRES</t>
  </si>
  <si>
    <t>- CULASSE A FAIRE</t>
  </si>
  <si>
    <t>5L PSA B712312</t>
  </si>
  <si>
    <t>Plateau de pression d'embrayagE: 20Nm</t>
  </si>
  <si>
    <t>Moyeu avanT: 345 Nm</t>
  </si>
  <si>
    <t xml:space="preserve">Roues: 100 Nm / ACIER: 110 NM </t>
  </si>
  <si>
    <t>AL348ZK</t>
  </si>
  <si>
    <t xml:space="preserve">ERIC COMPTABLE </t>
  </si>
  <si>
    <t>HYUNADAI</t>
  </si>
  <si>
    <t>29/02/2008</t>
  </si>
  <si>
    <t>5.9 L</t>
  </si>
  <si>
    <t>- VIDANGE PONT AR (même huile remis)</t>
  </si>
  <si>
    <t>- VIDANGE BOITE DE VITESSE : 75W80 1.9L</t>
  </si>
  <si>
    <t xml:space="preserve">- VIDANGE BOITE DE TRANSFERT : HUILE MANQUANTE 80W90 0.8L </t>
  </si>
  <si>
    <t xml:space="preserve">EMBRAYAGE : 1.9L 75W80 + ANTI USURE </t>
  </si>
  <si>
    <t xml:space="preserve">C3 PLURIEL </t>
  </si>
  <si>
    <t>28/09/2009</t>
  </si>
  <si>
    <t>3.5 L</t>
  </si>
  <si>
    <t>Plateau de pression d'embrayage : 20±2 Nm</t>
  </si>
  <si>
    <t>Moyeu avant : 245 Nm</t>
  </si>
  <si>
    <t>Roue : 100 Nm / Roues en acier = 90 Nm</t>
  </si>
  <si>
    <t xml:space="preserve">EMBRAYAGE + ANTI USURE </t>
  </si>
  <si>
    <t>- CONTROLE + REVISION 4F</t>
  </si>
  <si>
    <t>- REVISION DEPASSE 23 300 KMS</t>
  </si>
  <si>
    <t>FR323GT</t>
  </si>
  <si>
    <t>DOUSSY LOCATION</t>
  </si>
  <si>
    <t xml:space="preserve">CLASSE A </t>
  </si>
  <si>
    <t xml:space="preserve">5.5 L </t>
  </si>
  <si>
    <t xml:space="preserve">21.4 / 25.4 / 28 MM </t>
  </si>
  <si>
    <t xml:space="preserve">9.3 / 10.3 MM </t>
  </si>
  <si>
    <t xml:space="preserve">DISTRIBUTION </t>
  </si>
  <si>
    <t xml:space="preserve">3.8 L PSA B712290 </t>
  </si>
  <si>
    <t>- REVISION DEPASSE DE 4600 KMS</t>
  </si>
  <si>
    <t>- REVISION 4 FILTRES + NETT INJECT + VIS VANNE EGR</t>
  </si>
  <si>
    <t>FG040RS</t>
  </si>
  <si>
    <t>RIAZ DANDJEE</t>
  </si>
  <si>
    <t>PORSCHE</t>
  </si>
  <si>
    <t>CAYENNE</t>
  </si>
  <si>
    <t xml:space="preserve">6.3 L PORSCHE C30 </t>
  </si>
  <si>
    <t>32 MM</t>
  </si>
  <si>
    <t>- REVISION 3 FILTRES + BOUGIES + 1 NETT INJEC ESSENCE BARD</t>
  </si>
  <si>
    <t>-TEST SUR ROUTE AVEC DIAG POUR PERTE DE PUISSANCE SUR 4 VOIES</t>
  </si>
  <si>
    <t>DZ801JR</t>
  </si>
  <si>
    <t xml:space="preserve">ALI </t>
  </si>
  <si>
    <t>28/11/2006</t>
  </si>
  <si>
    <t xml:space="preserve">- PURGE LIQUIDE DE FREIN CAR AUTRE QUE LIQUIDE DE FREIN </t>
  </si>
  <si>
    <t>MIS A LA PLACE PAR LA CLIENTE</t>
  </si>
  <si>
    <t>-VIDANGE PONT ET BOITE DE TRANSFERT</t>
  </si>
  <si>
    <t>- SERRURE AVANT GAUCHE ET ARRIERE DROIT</t>
  </si>
  <si>
    <t>CY540EV</t>
  </si>
  <si>
    <t>MATOUNGA CHRISTELLE</t>
  </si>
  <si>
    <t>AURIS HYBRID</t>
  </si>
  <si>
    <t>4.2 L API: SL</t>
  </si>
  <si>
    <t xml:space="preserve">23 MM </t>
  </si>
  <si>
    <t>- REVISION 3 FILTRE + BOUGIES + BOBINE ?</t>
  </si>
  <si>
    <t>- roulement arriere droit??</t>
  </si>
  <si>
    <t xml:space="preserve">pneu ARG déformé / capteur marche arrière fuit </t>
  </si>
  <si>
    <t xml:space="preserve">- buse lave glace débouché / </t>
  </si>
  <si>
    <t>ER793BF</t>
  </si>
  <si>
    <t>VERONIQUE REMANO</t>
  </si>
  <si>
    <t>0692417426</t>
  </si>
  <si>
    <t>VITARA</t>
  </si>
  <si>
    <t xml:space="preserve">5.9 L WSS M2C913C </t>
  </si>
  <si>
    <t xml:space="preserve">- FREIN QUI PLONGE: COMMENCER PAR UNE PURGE ET SI S'AMELIORE </t>
  </si>
  <si>
    <t>PAS ON REMPLACERA LE MAITRE CYLINDRE</t>
  </si>
  <si>
    <t>MARION THOMAS</t>
  </si>
  <si>
    <t xml:space="preserve">YARIS </t>
  </si>
  <si>
    <t>28/06/2004</t>
  </si>
  <si>
    <t>AE197SP</t>
  </si>
  <si>
    <t>5W30 C3  TOTAL</t>
  </si>
  <si>
    <t xml:space="preserve">- PNEU ARRIERE A CHANGER </t>
  </si>
  <si>
    <t>13/10/2024</t>
  </si>
  <si>
    <t xml:space="preserve">- REMPLACER : AMPOULE CLIGNOTANT AVANT GAUCHE + </t>
  </si>
  <si>
    <t xml:space="preserve">3 EME FEU DE STOP + FEU DE STOP ARRIERE GAUCHE + </t>
  </si>
  <si>
    <t xml:space="preserve">FEU DE PLAQUE </t>
  </si>
  <si>
    <t>DT530LX</t>
  </si>
  <si>
    <t xml:space="preserve">KRIS DELIRON </t>
  </si>
  <si>
    <t>0693 85 08 98</t>
  </si>
  <si>
    <t>22/07/2015</t>
  </si>
  <si>
    <t xml:space="preserve">3.9L OU 5 L PSA B71 2312 </t>
  </si>
  <si>
    <t>VOIR DIMENSION</t>
  </si>
  <si>
    <t xml:space="preserve">VOIR DIMENSION </t>
  </si>
  <si>
    <t>Volant moteur/disque moteur : -/33 Nm+34°</t>
  </si>
  <si>
    <t>Moyeu avant : 285 Nm</t>
  </si>
  <si>
    <t xml:space="preserve">75W80 : 1,9 / 2,2 / 2,6 / 2,9 L + ANTI USURE </t>
  </si>
  <si>
    <t>Roues : 100 Nm</t>
  </si>
  <si>
    <t xml:space="preserve">EMBRAYAGE + VOLANT MOTEUR + DISQUE + </t>
  </si>
  <si>
    <t xml:space="preserve">2 SUPPORT MOTEUR COTE DISTRIBUTION </t>
  </si>
  <si>
    <t xml:space="preserve">REVISION 4 FILTRE </t>
  </si>
  <si>
    <t xml:space="preserve">3.8 L </t>
  </si>
  <si>
    <t xml:space="preserve">5W30 XTS </t>
  </si>
  <si>
    <t xml:space="preserve"> 6 L WSSM2C913C </t>
  </si>
  <si>
    <t>DV858SJ</t>
  </si>
  <si>
    <t xml:space="preserve">VAUBAN </t>
  </si>
  <si>
    <t xml:space="preserve">TRANSIT CONNECT </t>
  </si>
  <si>
    <t>15/09/2015</t>
  </si>
  <si>
    <t>5W30 C2/C3</t>
  </si>
  <si>
    <t xml:space="preserve">6.02 L KROON OIL </t>
  </si>
  <si>
    <t xml:space="preserve">9 MM </t>
  </si>
  <si>
    <t>EP834KP</t>
  </si>
  <si>
    <t>25/07/2017</t>
  </si>
  <si>
    <t>3.4 L RN0700</t>
  </si>
  <si>
    <t>P:10.6mm/V:19.8mm</t>
  </si>
  <si>
    <t>AJ362ZR</t>
  </si>
  <si>
    <t>JAR FREDERIC</t>
  </si>
  <si>
    <t>C4 GRAND PICASSO</t>
  </si>
  <si>
    <t>24/04/2007</t>
  </si>
  <si>
    <t>5.3 L PSA B71 2290</t>
  </si>
  <si>
    <t xml:space="preserve">- RESSORT AR + VERRIN DE COFFRE </t>
  </si>
  <si>
    <t>13/03/2024</t>
  </si>
  <si>
    <t xml:space="preserve">1 SUPPORT MOTEUR BALANCIER A CHANGER </t>
  </si>
  <si>
    <t xml:space="preserve">FUITE BOITE : ENTRE LA BOITE ET LE MOTEUR </t>
  </si>
  <si>
    <t xml:space="preserve">PNEU AVANT A CHANGER </t>
  </si>
  <si>
    <t xml:space="preserve">PLAQUETTES AVANT CHANGEE </t>
  </si>
  <si>
    <t xml:space="preserve">SUPPOSITION : JOINT SPI DERRIERE VOLANT MOTEUR </t>
  </si>
  <si>
    <t xml:space="preserve">FUITE D'AIR DU TURBO </t>
  </si>
  <si>
    <t>DJ671VQ</t>
  </si>
  <si>
    <t>ANAIS NIDHOIRE</t>
  </si>
  <si>
    <t>0693 54 52 42</t>
  </si>
  <si>
    <t xml:space="preserve">JUKE </t>
  </si>
  <si>
    <t>4.4 L C4</t>
  </si>
  <si>
    <t xml:space="preserve">3,8 L psa b712312 </t>
  </si>
  <si>
    <t>- carburant 30€</t>
  </si>
  <si>
    <t xml:space="preserve">- defaut dans les injecteurs, à prévoir changement </t>
  </si>
  <si>
    <t>- changement : klaxon + moteur lave glace +</t>
  </si>
  <si>
    <t xml:space="preserve">plaquettes arrière et capteur d'usure + ampoule clignotant arrière </t>
  </si>
  <si>
    <t xml:space="preserve">SUPPORT MOTEUR INFERIEUR ABIME </t>
  </si>
  <si>
    <t>PLAQUETTES ARRIERE A PREVOIR CHANGEMENT : 3/10</t>
  </si>
  <si>
    <t xml:space="preserve">FUITE MOTEUR 3 EME CACHE CULBUTEUR </t>
  </si>
  <si>
    <t>TRIANGLES AVANT LEGEREMENT ABIME</t>
  </si>
  <si>
    <t xml:space="preserve">gauche + balai essuie glace avant offert + triangles avant + révision 4 filtres </t>
  </si>
  <si>
    <t>19/09/2013</t>
  </si>
  <si>
    <t xml:space="preserve">4,8L RN0720 </t>
  </si>
  <si>
    <t>AMORTISSEURS AVANT + DISQUES ET PLAQUETTES AVANT</t>
  </si>
  <si>
    <t>17/09/2015</t>
  </si>
  <si>
    <t xml:space="preserve">11 MM </t>
  </si>
  <si>
    <t>BE248LG</t>
  </si>
  <si>
    <t xml:space="preserve">DOARE CHRISTOPHE </t>
  </si>
  <si>
    <t>0699438356</t>
  </si>
  <si>
    <t xml:space="preserve">C3 </t>
  </si>
  <si>
    <t>3.5 L PSA B71 2290</t>
  </si>
  <si>
    <t>TRIANGLES AVANT + SUPPORT MOTEUR AV D + SUPPORT MOTEUR INF</t>
  </si>
  <si>
    <t>25/04/2025</t>
  </si>
  <si>
    <t>BT878BQ</t>
  </si>
  <si>
    <t>MICKAEL JAF</t>
  </si>
  <si>
    <t xml:space="preserve">MERCEDES </t>
  </si>
  <si>
    <t>24/08/2011</t>
  </si>
  <si>
    <t xml:space="preserve">0W40 XTS </t>
  </si>
  <si>
    <t>6.5 L MB229.3</t>
  </si>
  <si>
    <t>22.4 OU 26 MM</t>
  </si>
  <si>
    <t xml:space="preserve">7.8 OU 8.8 MM </t>
  </si>
  <si>
    <t xml:space="preserve">PLAQUETTES AVANT </t>
  </si>
  <si>
    <t>17/05/2013</t>
  </si>
  <si>
    <t>6.7 L</t>
  </si>
  <si>
    <t>GK270RK</t>
  </si>
  <si>
    <t xml:space="preserve">AUDIO PLUS </t>
  </si>
  <si>
    <t>23/11/2022</t>
  </si>
  <si>
    <t xml:space="preserve">5W30 C4 </t>
  </si>
  <si>
    <t>10 L MB 229.51</t>
  </si>
  <si>
    <t>14 OU 16 MM</t>
  </si>
  <si>
    <t>Volant moteur/disque moteur : 45 Nm+90°/45 Nm+90°</t>
  </si>
  <si>
    <t>Plateau de pression d'embrayage : 1)16 Nm 2)30 Nm</t>
  </si>
  <si>
    <t>Moyeu avant : 4x4=160 Nm+60°</t>
  </si>
  <si>
    <t>Roues : 180 Nm / Roues en acier : Boulons = 240 Nm Ecrous = 180 Nm</t>
  </si>
  <si>
    <t xml:space="preserve">BUTEE EMBRAYAGE </t>
  </si>
  <si>
    <t>3.9 L PSA B712290</t>
  </si>
  <si>
    <t>REVISION 3 FILTRES + CONTROLE</t>
  </si>
  <si>
    <t>22/02/2025</t>
  </si>
  <si>
    <t>- JOINT SPY AVANT GAUCHE A REMPLACER</t>
  </si>
  <si>
    <t>BS824ZE</t>
  </si>
  <si>
    <t xml:space="preserve">DE LARYCHAUDY </t>
  </si>
  <si>
    <t>27/08/2008</t>
  </si>
  <si>
    <t xml:space="preserve">7.5 L C3 </t>
  </si>
  <si>
    <t xml:space="preserve"> 25 MM </t>
  </si>
  <si>
    <t xml:space="preserve">PRISE D'AIR PB DEMARRAGE </t>
  </si>
  <si>
    <t xml:space="preserve">- PREVOIR REMPLACEMENT CAPTEUR PMH : </t>
  </si>
  <si>
    <t xml:space="preserve">FAISCEAU DE CABLE PMH DETERIORE </t>
  </si>
  <si>
    <t xml:space="preserve">- RAJOUT LDR NIVEAU AU MINIMUM </t>
  </si>
  <si>
    <t>- DURITE TURBO SORTIE ECHANGEUR ENTREE BOITIER PAPILLON :</t>
  </si>
  <si>
    <t xml:space="preserve">REPAREE PROVISOIREMENT </t>
  </si>
  <si>
    <t xml:space="preserve">TRIANGLE AVANT DROIT CHANGER </t>
  </si>
  <si>
    <t xml:space="preserve">INTERRUPTEUR D'OUVERTURE DE COFFRE </t>
  </si>
  <si>
    <t>GA831DC</t>
  </si>
  <si>
    <t>VAUQUIEZ</t>
  </si>
  <si>
    <t xml:space="preserve">CLIO 5 </t>
  </si>
  <si>
    <t>21/06/2021</t>
  </si>
  <si>
    <t>4.2 L RN17</t>
  </si>
  <si>
    <t xml:space="preserve">0W20 R </t>
  </si>
  <si>
    <t>DY317LS</t>
  </si>
  <si>
    <t>A1</t>
  </si>
  <si>
    <t>28/12/2015</t>
  </si>
  <si>
    <t xml:space="preserve">4 L CASTROL </t>
  </si>
  <si>
    <t>7 OU 8 MM</t>
  </si>
  <si>
    <t>23/05/2026</t>
  </si>
  <si>
    <t xml:space="preserve">JET D'EAU ARRIERE DE L'ESSUIE GLACE NON FONTIONNEL </t>
  </si>
  <si>
    <t>BOUCHON DE VIDANGE REMIS L'ANCIEN</t>
  </si>
  <si>
    <t xml:space="preserve">JEU DANS LA DIRECTION </t>
  </si>
  <si>
    <t>CONTROLE</t>
  </si>
  <si>
    <t>BQ561KN</t>
  </si>
  <si>
    <t>PIERRE GAUTIER</t>
  </si>
  <si>
    <t xml:space="preserve">0692 21 72 89 </t>
  </si>
  <si>
    <t>23/06/2011</t>
  </si>
  <si>
    <t xml:space="preserve">4.5 L RN 0720 </t>
  </si>
  <si>
    <t xml:space="preserve">2 DURITE TURBO FUIT </t>
  </si>
  <si>
    <t>25/05/2025</t>
  </si>
  <si>
    <t xml:space="preserve">PARALLELISME A PREVOIR </t>
  </si>
  <si>
    <t xml:space="preserve">JEU DANS LA TETE D'AMORTISSEUR AVANT DROIT </t>
  </si>
  <si>
    <t xml:space="preserve">1 FEU DE PLAQUE REMPLACEE </t>
  </si>
  <si>
    <t>- COQUE DE CLIGNOTANT AVANT GAUCHE CASSEE</t>
  </si>
  <si>
    <t xml:space="preserve">- PREVOIR PARALLELISME </t>
  </si>
  <si>
    <t>DALILA DIF</t>
  </si>
  <si>
    <t>4,5L</t>
  </si>
  <si>
    <t xml:space="preserve">FILTRE A HUILE + CONTROLE </t>
  </si>
  <si>
    <t>BN698KH</t>
  </si>
  <si>
    <t>13/05/2011</t>
  </si>
  <si>
    <t xml:space="preserve">DISQ A VOIR </t>
  </si>
  <si>
    <t>7 OU 7.5 MM</t>
  </si>
  <si>
    <t>CT797MX</t>
  </si>
  <si>
    <t>MOUCOUTA</t>
  </si>
  <si>
    <t>0693 47 28 79</t>
  </si>
  <si>
    <t>4.6 L VW507.00</t>
  </si>
  <si>
    <t>DISQ A VOIR</t>
  </si>
  <si>
    <t xml:space="preserve">SUPPORT MOTEUR INFERIEUR </t>
  </si>
  <si>
    <t>4 L VW 507,00</t>
  </si>
  <si>
    <t>30/05/2016</t>
  </si>
  <si>
    <t xml:space="preserve">5.7 L </t>
  </si>
  <si>
    <t>AS725FX</t>
  </si>
  <si>
    <t>MARTELL</t>
  </si>
  <si>
    <t xml:space="preserve">40 NM </t>
  </si>
  <si>
    <t>VIDANGE F.H</t>
  </si>
  <si>
    <t>rétro conducteur / bruit de ferraille dans l'échappement / feux avant opaque /</t>
  </si>
  <si>
    <t>30/03/2025</t>
  </si>
  <si>
    <t xml:space="preserve">Révision dépassée de 3 500 KMS </t>
  </si>
  <si>
    <t>Fuite moteur : joint huile moteur bas carter ou joint spi volant moteur</t>
  </si>
  <si>
    <t xml:space="preserve">Témoin tableau de bord : témoin airbag </t>
  </si>
  <si>
    <t xml:space="preserve">Bocal liquide de refroissement vide </t>
  </si>
  <si>
    <t>Distribution à faire à 150 000 kms, à contrôler dans les factures si elle a été faites</t>
  </si>
  <si>
    <t xml:space="preserve">Fuite moteur : légère fuite du joint cache culbuteur </t>
  </si>
  <si>
    <t xml:space="preserve">Bruit au niveau du galet tendeur </t>
  </si>
  <si>
    <t>Joint spi cardan avant droit et 2 joints selecteur de vitesse</t>
  </si>
  <si>
    <t xml:space="preserve">Fuite mano direction assistée : niveau liquide direction assistée 0 </t>
  </si>
  <si>
    <t xml:space="preserve">Roulement arrière à prévoir </t>
  </si>
  <si>
    <t xml:space="preserve">Veilleuse avant gauche </t>
  </si>
  <si>
    <t>Fuite lave glace arrière</t>
  </si>
  <si>
    <t xml:space="preserve">Petit jeu dans le croissillon de direction </t>
  </si>
  <si>
    <t xml:space="preserve">Rétro centrale détérioré </t>
  </si>
  <si>
    <t>Phares avant ternis</t>
  </si>
  <si>
    <t xml:space="preserve">Suspicion bruit de roulement arrière droit </t>
  </si>
  <si>
    <t xml:space="preserve">révision dépassée de 7000 KMS </t>
  </si>
  <si>
    <t>niveau d'huile plus bas que le minimum</t>
  </si>
  <si>
    <t>EL297BE</t>
  </si>
  <si>
    <t>AKOONE</t>
  </si>
  <si>
    <t xml:space="preserve">0693 62 10 93 </t>
  </si>
  <si>
    <t>24/03/2017</t>
  </si>
  <si>
    <t>5W40 XTEC</t>
  </si>
  <si>
    <t xml:space="preserve">4.13 L RN0710 </t>
  </si>
  <si>
    <t xml:space="preserve">TAMBOURS : MACHOIRE </t>
  </si>
  <si>
    <t>DL270SY</t>
  </si>
  <si>
    <t>CADHUM ALPHONSE</t>
  </si>
  <si>
    <t>0693 54 06 91</t>
  </si>
  <si>
    <t xml:space="preserve">SERIE 1 </t>
  </si>
  <si>
    <t>14/11/2014</t>
  </si>
  <si>
    <t xml:space="preserve">A VERIFIER </t>
  </si>
  <si>
    <t>NIVEAU LIQUIDE DE REFROIDISSEMENT BAS DANS LE BOCAL</t>
  </si>
  <si>
    <t>30/10/2025</t>
  </si>
  <si>
    <t>- ANTIVIBRATION PONT ARRIERE</t>
  </si>
  <si>
    <t xml:space="preserve">- MANQUE ANTIVOL DE ROUE </t>
  </si>
  <si>
    <t xml:space="preserve">- PLAQUETTES ARRIERE A PREVOIR 3/10 </t>
  </si>
  <si>
    <t>- Témoin moteur : témoin airbag</t>
  </si>
  <si>
    <t>- Jeu dans la rotule de direction avant gauche</t>
  </si>
  <si>
    <t>- Tampon amortisseur avant gauche abimé</t>
  </si>
  <si>
    <t xml:space="preserve">- Pneu avant à changer </t>
  </si>
  <si>
    <t xml:space="preserve">- Fuite moteur : faire nettoyage pour voir ou se situe la fuite </t>
  </si>
  <si>
    <t>- Klaxon : contacteur tournant à changer</t>
  </si>
  <si>
    <t>DT996ZQ</t>
  </si>
  <si>
    <t xml:space="preserve">ANDY LEBON </t>
  </si>
  <si>
    <t>0692 55 03 87</t>
  </si>
  <si>
    <t xml:space="preserve">CORSA </t>
  </si>
  <si>
    <t xml:space="preserve">3.2 L DEXOS </t>
  </si>
  <si>
    <t>Embrayage + volant moteur et butee + demarreur</t>
  </si>
  <si>
    <t>Volant moteur/disque moteur : 44 Nm</t>
  </si>
  <si>
    <t>Plateau de pression d'embrayage : M6 = 12 Nm / M7 = 15 Nm / M8 = 28 Nm</t>
  </si>
  <si>
    <t>Moyeu avant : 70 Nm + 60° + 5°</t>
  </si>
  <si>
    <t>Roues : 110 Nm</t>
  </si>
  <si>
    <t xml:space="preserve">Triangle avant + amortisseurs avant </t>
  </si>
  <si>
    <t xml:space="preserve">Amortisseurs arrière </t>
  </si>
  <si>
    <t>29/09/2016</t>
  </si>
  <si>
    <t>- SOUFFLET CARDAN AVANT DROIT</t>
  </si>
  <si>
    <t xml:space="preserve">- TEMOIN MOTEUR : CATALYSEUR </t>
  </si>
  <si>
    <t xml:space="preserve">- JOINT SPY CARDAN DROITE ET GAUCHE + VIDANGE BOITE </t>
  </si>
  <si>
    <t xml:space="preserve">10W40 XTC </t>
  </si>
  <si>
    <t xml:space="preserve">3.4 L RN700 </t>
  </si>
  <si>
    <t>DW112AX</t>
  </si>
  <si>
    <t>SHAMON</t>
  </si>
  <si>
    <t>0693 47 31 89</t>
  </si>
  <si>
    <t>25/09/2015</t>
  </si>
  <si>
    <t>3.75 L PSA B71 2290</t>
  </si>
  <si>
    <t xml:space="preserve">DSIQUES AV A VERIFIER </t>
  </si>
  <si>
    <t xml:space="preserve">DSIQUES AR A VERIFIER </t>
  </si>
  <si>
    <t xml:space="preserve">- REVISION 4 FILTRES + CHECK </t>
  </si>
  <si>
    <t xml:space="preserve">DUBERVILLE </t>
  </si>
  <si>
    <t>0692 10 95 24</t>
  </si>
  <si>
    <t>3L PSAB712290 / 30NM</t>
  </si>
  <si>
    <t xml:space="preserve">- VIDANGE 3 FILTRES </t>
  </si>
  <si>
    <t>AN383ZQ</t>
  </si>
  <si>
    <t>GILLES</t>
  </si>
  <si>
    <t>0693 03 14 83</t>
  </si>
  <si>
    <t>TOYOTTA</t>
  </si>
  <si>
    <t>VERSO</t>
  </si>
  <si>
    <t>24/03/2010</t>
  </si>
  <si>
    <t>6.3 L C3</t>
  </si>
  <si>
    <t xml:space="preserve">- VIDANGE F.H + CHECK </t>
  </si>
  <si>
    <t>- usure anormale des plaquettes avant</t>
  </si>
  <si>
    <t>- purge des freins</t>
  </si>
  <si>
    <t>- vidange de boite</t>
  </si>
  <si>
    <t>AJ748LG</t>
  </si>
  <si>
    <t>SERIE 5</t>
  </si>
  <si>
    <t>27/05/2004</t>
  </si>
  <si>
    <t>8.3 L</t>
  </si>
  <si>
    <t>ET214FM</t>
  </si>
  <si>
    <t>GRAND STEPHANIE</t>
  </si>
  <si>
    <t xml:space="preserve">10W40 </t>
  </si>
  <si>
    <t>PLEINS OU VENTILES A VOIR</t>
  </si>
  <si>
    <t>- VOIR PROBLEME FREIN A MAIN QUI TIENT PAS</t>
  </si>
  <si>
    <t>- VERIFIER FUITE LAVE GLACE A QUEL NIVEAU, PAS DE REPARATION</t>
  </si>
  <si>
    <t>- VERIFIER POURQUOI PROBLEME GACHE DE COFFRE ARRIERE, PAS</t>
  </si>
  <si>
    <t>DE REPARATION!!!!</t>
  </si>
  <si>
    <t>EQ709WE</t>
  </si>
  <si>
    <t>28/09/2017</t>
  </si>
  <si>
    <t xml:space="preserve">4 L </t>
  </si>
  <si>
    <t xml:space="preserve">- USURE ANORMALE PNEU AVANT </t>
  </si>
  <si>
    <t xml:space="preserve">- PLAQUETTES AVANT A FAIRE </t>
  </si>
  <si>
    <t xml:space="preserve">- DIAG + TEST SUR ROUTE </t>
  </si>
  <si>
    <t>AN585HN</t>
  </si>
  <si>
    <t>JEAN HUGUE ASSOUMANI</t>
  </si>
  <si>
    <t>30/11/2006</t>
  </si>
  <si>
    <t>DC442HN</t>
  </si>
  <si>
    <t>THOMAS PHARUS</t>
  </si>
  <si>
    <t xml:space="preserve">SPOTAGE </t>
  </si>
  <si>
    <t xml:space="preserve">5.9 L </t>
  </si>
  <si>
    <t xml:space="preserve">44 NM </t>
  </si>
  <si>
    <t xml:space="preserve">- JOINT DE CULASSE </t>
  </si>
  <si>
    <t xml:space="preserve">- PILE DE CLE A CHANGER </t>
  </si>
  <si>
    <t>- FISSURE BOCAL LAVE GLACE</t>
  </si>
  <si>
    <t>- NIVEAU D'HUILE AU MINIMUM</t>
  </si>
  <si>
    <t xml:space="preserve">- SUPPORT MOTEUR COTE DISTRIBUTION </t>
  </si>
  <si>
    <t>CY278KK</t>
  </si>
  <si>
    <t>ALLAN  BALAGOUROU</t>
  </si>
  <si>
    <t>- VIDANGE FILTRE A HUILE</t>
  </si>
  <si>
    <t>- TEMOIN RISQUE CASSE MOTEUR: diag par Adil</t>
  </si>
  <si>
    <t xml:space="preserve">3.3 L psa b712290 </t>
  </si>
  <si>
    <t>20 / 24 ou 26 MM</t>
  </si>
  <si>
    <t xml:space="preserve">AMORTISSEURS AVANT + VERIF NIVEAU HUILE CAR SOUVENT MANQUANT </t>
  </si>
  <si>
    <t xml:space="preserve">CHECK </t>
  </si>
  <si>
    <t xml:space="preserve">- Niveau d'huile au minimum </t>
  </si>
  <si>
    <t xml:space="preserve">- Tête d'amortisseur avant à changer </t>
  </si>
  <si>
    <t xml:space="preserve">- Essuie glace arrière à remplacer </t>
  </si>
  <si>
    <t>- Fuite d'huile moteur au niveau du cache culbuteur et autre</t>
  </si>
  <si>
    <t xml:space="preserve">- Parallélisme à prévoir </t>
  </si>
  <si>
    <t xml:space="preserve">- Disques avant et arrière à remplacer lors prochaine plaquettes </t>
  </si>
  <si>
    <t xml:space="preserve">- Bouchon du bocal lave glace à remplacer </t>
  </si>
  <si>
    <t xml:space="preserve">- Bouchon du bocal huile à remplacer </t>
  </si>
  <si>
    <t xml:space="preserve">- Lavage moteur à faire </t>
  </si>
  <si>
    <t>EH182GP</t>
  </si>
  <si>
    <t xml:space="preserve">BAHROU </t>
  </si>
  <si>
    <t xml:space="preserve">YARIS HYBRID </t>
  </si>
  <si>
    <t xml:space="preserve">4.2 L psa b712290 </t>
  </si>
  <si>
    <t>ER590RY</t>
  </si>
  <si>
    <t>31/10/2017</t>
  </si>
  <si>
    <t>FX033HQ</t>
  </si>
  <si>
    <t>FIESTA</t>
  </si>
  <si>
    <t>23/02/2021</t>
  </si>
  <si>
    <t xml:space="preserve">REV + BOBINE + BOUGIE + LUSTRAGE PHARE </t>
  </si>
  <si>
    <t>3.7 L</t>
  </si>
  <si>
    <t>REV 3 FILTRES + NETTOYAGE FILTRE BATTERIE HYBRIDE</t>
  </si>
  <si>
    <t>piece + huile fourni par le client : 5w30 c3 mannol</t>
  </si>
  <si>
    <t>Fuite boite : légère fuite au niveau du joint spy cardan avant coté conducteur + vidange boite</t>
  </si>
  <si>
    <t xml:space="preserve">Permutation des roues avant vers l'arrière : pneu arrière vieux </t>
  </si>
  <si>
    <t>6.2 L C2</t>
  </si>
  <si>
    <t>EW691RL</t>
  </si>
  <si>
    <t xml:space="preserve">GOKALSING SEBASTIEN </t>
  </si>
  <si>
    <t>18/04/2018</t>
  </si>
  <si>
    <t>4.13 L RN17 BENZOL</t>
  </si>
  <si>
    <t>18.8 MM</t>
  </si>
  <si>
    <t xml:space="preserve">MACHOIRE </t>
  </si>
  <si>
    <t xml:space="preserve">pneu avant à changer </t>
  </si>
  <si>
    <t xml:space="preserve">- FUITE MOTEUR A CONTROLER </t>
  </si>
  <si>
    <t xml:space="preserve">- PNEU AVANT + PARALLELISME </t>
  </si>
  <si>
    <t xml:space="preserve">- SUPPORT MOTEUR COTE DISTRIBUTION A REMPLACER </t>
  </si>
  <si>
    <t xml:space="preserve">REMPLACEMENT KIT DISTRIBUTION + PAE + COURROIE ACCESSOIRE </t>
  </si>
  <si>
    <t>EJ857TN</t>
  </si>
  <si>
    <t>ISSOUF AHMADA</t>
  </si>
  <si>
    <t>22/02/2006</t>
  </si>
  <si>
    <t>4.3 L - 5 L</t>
  </si>
  <si>
    <t>SUPPORT MOTEUR COTE DISTRI + SUPPRESSION CHAUFFAGE HABITACLE</t>
  </si>
  <si>
    <t>FIXATION PARECHOC AV + CONTROLE COMPLET VEHICULE</t>
  </si>
  <si>
    <t>FK263RH</t>
  </si>
  <si>
    <t xml:space="preserve">5W30 C2/C3 </t>
  </si>
  <si>
    <t>5.3 L ELF</t>
  </si>
  <si>
    <t>DEBUT DECHIRURE TRIANGLES AVANT</t>
  </si>
  <si>
    <t>CZ743ER</t>
  </si>
  <si>
    <t>MICKAEL ORBOIN</t>
  </si>
  <si>
    <t xml:space="preserve">0692 01 40 62 </t>
  </si>
  <si>
    <t>4.5 L RN0720</t>
  </si>
  <si>
    <t xml:space="preserve">19.8 OU 21.8 MM </t>
  </si>
  <si>
    <t>FD444PW</t>
  </si>
  <si>
    <t>SOOKONAH STANISLAS</t>
  </si>
  <si>
    <t xml:space="preserve">0693 80 32 63 </t>
  </si>
  <si>
    <t>4 L 9.55535</t>
  </si>
  <si>
    <t xml:space="preserve">30 NM 2 PARTIE OU 40 NM </t>
  </si>
  <si>
    <t xml:space="preserve">BOIR DIMENSION </t>
  </si>
  <si>
    <t>- F.H + HAB + NETTOYAGE CIRCUIT DE CLIM</t>
  </si>
  <si>
    <t xml:space="preserve">- FUITE D'HUILE AU NIVEAU BOITE DE VITESSE : </t>
  </si>
  <si>
    <t xml:space="preserve">SUSPICION REFROIDISSEUR HUILE DE BOITE ET CARTER BOITE DE VITESSE </t>
  </si>
  <si>
    <t xml:space="preserve">30 NM 2 PART OU 40 NM </t>
  </si>
  <si>
    <t>EG544ZF</t>
  </si>
  <si>
    <t>24/11/2016</t>
  </si>
  <si>
    <t>5W30 FE</t>
  </si>
  <si>
    <t>5.52 L ELF</t>
  </si>
  <si>
    <t>FF276PH</t>
  </si>
  <si>
    <t xml:space="preserve">CHRISTIAN HASSANALY </t>
  </si>
  <si>
    <t>19/04/2019</t>
  </si>
  <si>
    <t>0W20 MANNOL</t>
  </si>
  <si>
    <t xml:space="preserve">A VOIR DIMENSION </t>
  </si>
  <si>
    <t>- DISTRI + PAE + COURROIE ACC</t>
  </si>
  <si>
    <t>- REVISION 3 FILTRES</t>
  </si>
  <si>
    <t>EX547MD</t>
  </si>
  <si>
    <t>MAKHLOUFI</t>
  </si>
  <si>
    <t>23/05/2018</t>
  </si>
  <si>
    <t>4.7 L B4</t>
  </si>
  <si>
    <t xml:space="preserve">- temoin air bag : contacteur tournant </t>
  </si>
  <si>
    <t xml:space="preserve">- pneu avant à surveiller </t>
  </si>
  <si>
    <t xml:space="preserve">- plaquettes avant 4/10 </t>
  </si>
  <si>
    <t xml:space="preserve">- klaxon fonctionne pas : contacteur tournant </t>
  </si>
  <si>
    <t>27/03/2026</t>
  </si>
  <si>
    <t>- ESSUIE GLACE AVANT A REMPLACER</t>
  </si>
  <si>
    <t>GR284QE</t>
  </si>
  <si>
    <t>GUTSTEIN GREGORY</t>
  </si>
  <si>
    <t>0W20 R</t>
  </si>
  <si>
    <t>7.5 L RN17</t>
  </si>
  <si>
    <t xml:space="preserve">- REV F.HUILE + PLAQUETTES AVANT A VOIR </t>
  </si>
  <si>
    <t>AC885PS</t>
  </si>
  <si>
    <t>069237 11 65</t>
  </si>
  <si>
    <t>28/08/2009</t>
  </si>
  <si>
    <t>4.1 L RN0710</t>
  </si>
  <si>
    <t>PAS DE VIGNETTE</t>
  </si>
  <si>
    <t>jeu dans les têtes d'amortisseurs / fuite durite sortie turbo entrée</t>
  </si>
  <si>
    <t>échangeur / nettoyage moteur / soufflet cardan AVG coté boîte +</t>
  </si>
  <si>
    <t>170 526 KMS</t>
  </si>
  <si>
    <t xml:space="preserve">FIESTA 6 - </t>
  </si>
  <si>
    <t>18/09/2017</t>
  </si>
  <si>
    <t>3.9 L WSS- M2C913D / 35 NM</t>
  </si>
  <si>
    <t>GT728EC</t>
  </si>
  <si>
    <t xml:space="preserve">MEDICAL DE BOURBON </t>
  </si>
  <si>
    <t>21/12/2023</t>
  </si>
  <si>
    <t>6.6 L PSA B7123</t>
  </si>
  <si>
    <t>EB884NC</t>
  </si>
  <si>
    <t>MOURAD BOURA</t>
  </si>
  <si>
    <t>IX35</t>
  </si>
  <si>
    <t>21/04/2016</t>
  </si>
  <si>
    <t xml:space="preserve">43 NM </t>
  </si>
  <si>
    <t>20/07/2024</t>
  </si>
  <si>
    <t>- purge liquide de frein à prévoir lors prochaines plaquettes</t>
  </si>
  <si>
    <t>- témoin ABS qui va et vient</t>
  </si>
  <si>
    <t>- parallélisme à prévoir</t>
  </si>
  <si>
    <t>JESTIN JEREMY</t>
  </si>
  <si>
    <t xml:space="preserve">vidange boîte / purge de frein / pas de vignette CT </t>
  </si>
  <si>
    <t>vidange filtre a huile</t>
  </si>
  <si>
    <t>- EMBRAYAGE DUR</t>
  </si>
  <si>
    <t>- antipollution: 20/07/2023</t>
  </si>
  <si>
    <t>- FUITE MOTEUR</t>
  </si>
  <si>
    <t>REMPLACEMENT DISQUES + PLAQUETTES AVANT</t>
  </si>
  <si>
    <t>5,52 L 5W30 FE ELF</t>
  </si>
  <si>
    <t>27/02/2019</t>
  </si>
  <si>
    <t xml:space="preserve"> 5,3L </t>
  </si>
  <si>
    <t>- VID FH + CONTROLE</t>
  </si>
  <si>
    <t>EQ265XK</t>
  </si>
  <si>
    <t>DIJOUX DIDIER</t>
  </si>
  <si>
    <t>0692597513</t>
  </si>
  <si>
    <t>SERIE 1 116 I</t>
  </si>
  <si>
    <t>29/09/2017</t>
  </si>
  <si>
    <t>4.25 L BMW LL04</t>
  </si>
  <si>
    <t>- FUITE LDR A L'ARRIVEE DU VEHICULE</t>
  </si>
  <si>
    <t>18/06/2003</t>
  </si>
  <si>
    <t>4.5L psa b712290</t>
  </si>
  <si>
    <t>- PLAQUETTES AVANT + VID FH</t>
  </si>
  <si>
    <t>- BRUIT COURROIE ALTERNATEUR</t>
  </si>
  <si>
    <t>- FEUX + CONTRÖLE</t>
  </si>
  <si>
    <t>ALIA KASSAMALY</t>
  </si>
  <si>
    <t>19/05/2017</t>
  </si>
  <si>
    <t>3.5 L psa b712312</t>
  </si>
  <si>
    <t>REVISION FH + BRUIT AVD LORS FREINAGE</t>
  </si>
  <si>
    <t>REVISION DEPASSE DE 400KMS</t>
  </si>
  <si>
    <t>DT332DD</t>
  </si>
  <si>
    <t>REVI FH + RENEGENRATION FAP</t>
  </si>
  <si>
    <t>2 PRODUIT FAP DEJA MIS</t>
  </si>
  <si>
    <t>- PLAQUETTES AVANT: 5/10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</si>
</sst>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\ \L"/>
    <numFmt numFmtId="165" formatCode="0\ &quot;NM&quot;"/>
    <numFmt numFmtId="166" formatCode="#\L"/>
    <numFmt numFmtId="167" formatCode="#&quot; NM&quot;"/>
    <numFmt numFmtId="168" formatCode="#,###&quot; KMS&quot;"/>
    <numFmt numFmtId="169" formatCode="#,###\ &quot;KMS&quot;"/>
    <numFmt numFmtId="170" formatCode="#,##0.00\ &quot;€&quot;"/>
    <numFmt numFmtId="171" formatCode="d/m/yy\ h:mm;@"/>
  </numFmts>
  <fonts count="44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name val="Arial"/>
    </font>
    <font>
      <b/>
      <sz val="10"/>
      <color rgb="FFFF0000"/>
      <name val="Arial"/>
      <scheme val="minor"/>
    </font>
    <font>
      <sz val="35"/>
      <color theme="1"/>
      <name val="Calibri"/>
    </font>
    <font>
      <sz val="10"/>
      <color theme="1"/>
      <name val="Arial"/>
    </font>
    <font>
      <b/>
      <sz val="13"/>
      <color theme="1"/>
      <name val="Calibri"/>
    </font>
    <font>
      <sz val="30"/>
      <color theme="1"/>
      <name val="Calibri"/>
    </font>
    <font>
      <b/>
      <sz val="20"/>
      <color theme="1"/>
      <name val="Calibri"/>
    </font>
    <font>
      <sz val="10"/>
      <color rgb="FF000000"/>
      <name val="Aptos"/>
      <family val="2"/>
    </font>
    <font>
      <sz val="16"/>
      <color theme="1"/>
      <name val="Aptos"/>
      <family val="2"/>
    </font>
    <font>
      <sz val="15"/>
      <color rgb="FF000000"/>
      <name val="Aptos"/>
      <family val="2"/>
    </font>
    <font>
      <sz val="15"/>
      <color theme="1"/>
      <name val="Aptos"/>
      <family val="2"/>
    </font>
    <font>
      <b/>
      <sz val="15"/>
      <color theme="1"/>
      <name val="Aptos"/>
      <family val="2"/>
    </font>
    <font>
      <b/>
      <sz val="20"/>
      <color theme="1"/>
      <name val="Aptos"/>
      <family val="2"/>
    </font>
    <font>
      <b/>
      <sz val="16"/>
      <color rgb="FF000000"/>
      <name val="Aptos"/>
      <family val="2"/>
    </font>
    <font>
      <b/>
      <sz val="16"/>
      <color rgb="FF000000"/>
      <name val="Courier New"/>
      <family val="3"/>
    </font>
    <font>
      <b/>
      <sz val="11"/>
      <color rgb="FF000000"/>
      <name val="Courier New"/>
      <family val="3"/>
    </font>
    <font>
      <b/>
      <sz val="11"/>
      <color rgb="FF000000"/>
      <name val="Aptos"/>
      <family val="2"/>
    </font>
    <font>
      <b/>
      <sz val="12"/>
      <color rgb="FF000000"/>
      <name val="Aptos"/>
      <family val="2"/>
    </font>
    <font>
      <b/>
      <sz val="14"/>
      <color rgb="FF000000"/>
      <name val="Aptos"/>
      <family val="2"/>
    </font>
    <font>
      <b/>
      <sz val="10"/>
      <color theme="0"/>
      <name val="Arial"/>
      <scheme val="minor"/>
    </font>
    <font>
      <sz val="10"/>
      <color rgb="FF000000"/>
      <name val="Arial"/>
      <family val="2"/>
      <scheme val="minor"/>
    </font>
    <font>
      <sz val="8"/>
      <name val="Arial"/>
      <scheme val="minor"/>
    </font>
    <font>
      <sz val="8"/>
      <name val="Arial"/>
      <family val="2"/>
      <scheme val="minor"/>
    </font>
    <font>
      <sz val="16"/>
      <color rgb="FF000000"/>
      <name val="Arial"/>
      <family val="2"/>
      <scheme val="minor"/>
    </font>
    <font>
      <sz val="16"/>
      <color rgb="FF000000"/>
      <name val="Calibri"/>
      <family val="2"/>
    </font>
    <font>
      <sz val="12"/>
      <color rgb="FF16365C"/>
      <name val="Arial"/>
      <family val="2"/>
    </font>
    <font>
      <sz val="17"/>
      <color rgb="FF16365C"/>
      <name val="Arial"/>
      <family val="2"/>
    </font>
    <font>
      <sz val="17"/>
      <color rgb="FF000000"/>
      <name val="Arial"/>
      <family val="2"/>
      <scheme val="minor"/>
    </font>
    <font>
      <sz val="16"/>
      <color theme="1"/>
      <name val="Arial"/>
      <family val="2"/>
      <scheme val="minor"/>
    </font>
    <font>
      <sz val="16"/>
      <name val="Arial"/>
      <family val="2"/>
    </font>
    <font>
      <b/>
      <sz val="16"/>
      <color theme="1"/>
      <name val="Arial"/>
      <family val="2"/>
      <scheme val="minor"/>
    </font>
    <font>
      <b/>
      <sz val="16"/>
      <color rgb="FF000000"/>
      <name val="Arial"/>
      <family val="2"/>
      <scheme val="minor"/>
    </font>
    <font>
      <b/>
      <u/>
      <sz val="16"/>
      <color theme="1"/>
      <name val="Arial"/>
      <family val="2"/>
      <scheme val="minor"/>
    </font>
    <font>
      <b/>
      <sz val="14"/>
      <color rgb="FFFF0000"/>
      <name val="Arial"/>
      <family val="2"/>
      <scheme val="minor"/>
    </font>
    <font>
      <sz val="14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6"/>
      <color theme="4"/>
      <name val="Arial"/>
      <family val="2"/>
      <scheme val="minor"/>
    </font>
    <font>
      <b/>
      <sz val="13"/>
      <color theme="4"/>
      <name val="Arial"/>
      <family val="2"/>
      <scheme val="minor"/>
    </font>
    <font>
      <sz val="16"/>
      <color theme="5" tint="-0.249977111117893"/>
      <name val="Arial"/>
      <family val="2"/>
      <scheme val="minor"/>
    </font>
    <font>
      <b/>
      <sz val="16"/>
      <color theme="5" tint="-0.249977111117893"/>
      <name val="Calibri"/>
      <family val="2"/>
    </font>
    <font>
      <sz val="10"/>
      <color theme="1"/>
      <name val="Arial"/>
      <family val="2"/>
    </font>
    <font>
      <sz val="9"/>
      <color rgb="FF00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9"/>
        <bgColor theme="9"/>
      </patternFill>
    </fill>
  </fills>
  <borders count="4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1" fillId="0" borderId="0" xfId="0" applyFont="1"/>
    <xf numFmtId="0" fontId="1" fillId="0" borderId="3" xfId="0" applyFont="1" applyBorder="1"/>
    <xf numFmtId="0" fontId="3" fillId="0" borderId="0" xfId="0" applyFont="1"/>
    <xf numFmtId="0" fontId="1" fillId="0" borderId="2" xfId="0" applyFont="1" applyBorder="1"/>
    <xf numFmtId="0" fontId="5" fillId="0" borderId="0" xfId="0" applyFont="1"/>
    <xf numFmtId="0" fontId="6" fillId="0" borderId="0" xfId="0" applyFont="1"/>
    <xf numFmtId="14" fontId="5" fillId="0" borderId="0" xfId="0" applyNumberFormat="1" applyFont="1"/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0" fillId="0" borderId="0" xfId="0" applyNumberFormat="1"/>
    <xf numFmtId="165" fontId="0" fillId="0" borderId="0" xfId="0" applyNumberFormat="1"/>
    <xf numFmtId="2" fontId="1" fillId="0" borderId="3" xfId="0" applyNumberFormat="1" applyFont="1" applyBorder="1"/>
    <xf numFmtId="14" fontId="0" fillId="0" borderId="0" xfId="0" applyNumberFormat="1"/>
    <xf numFmtId="0" fontId="22" fillId="0" borderId="0" xfId="0" applyFont="1"/>
    <xf numFmtId="49" fontId="0" fillId="0" borderId="0" xfId="0" applyNumberFormat="1"/>
    <xf numFmtId="13" fontId="0" fillId="0" borderId="0" xfId="0" applyNumberFormat="1"/>
    <xf numFmtId="0" fontId="5" fillId="0" borderId="0" xfId="0" applyFont="1" applyProtection="1">
      <protection locked="0"/>
    </xf>
    <xf numFmtId="0" fontId="26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5" fillId="0" borderId="0" xfId="0" applyFont="1"/>
    <xf numFmtId="0" fontId="30" fillId="0" borderId="4" xfId="0" applyFont="1" applyBorder="1"/>
    <xf numFmtId="0" fontId="30" fillId="0" borderId="5" xfId="0" applyFont="1" applyBorder="1"/>
    <xf numFmtId="0" fontId="30" fillId="0" borderId="6" xfId="0" applyFont="1" applyBorder="1"/>
    <xf numFmtId="0" fontId="30" fillId="0" borderId="7" xfId="0" applyFont="1" applyBorder="1"/>
    <xf numFmtId="0" fontId="30" fillId="0" borderId="8" xfId="0" applyFont="1" applyBorder="1"/>
    <xf numFmtId="0" fontId="30" fillId="0" borderId="9" xfId="0" applyFont="1" applyBorder="1"/>
    <xf numFmtId="0" fontId="30" fillId="0" borderId="13" xfId="0" applyFont="1" applyBorder="1"/>
    <xf numFmtId="0" fontId="30" fillId="0" borderId="0" xfId="0" applyFont="1"/>
    <xf numFmtId="0" fontId="30" fillId="0" borderId="14" xfId="0" applyFont="1" applyBorder="1"/>
    <xf numFmtId="0" fontId="31" fillId="0" borderId="11" xfId="0" applyFont="1" applyBorder="1"/>
    <xf numFmtId="0" fontId="33" fillId="0" borderId="0" xfId="0" applyFont="1"/>
    <xf numFmtId="0" fontId="34" fillId="0" borderId="0" xfId="0" applyFont="1"/>
    <xf numFmtId="0" fontId="32" fillId="0" borderId="15" xfId="0" applyFont="1" applyBorder="1"/>
    <xf numFmtId="0" fontId="25" fillId="0" borderId="16" xfId="0" applyFont="1" applyBorder="1"/>
    <xf numFmtId="166" fontId="25" fillId="0" borderId="0" xfId="0" applyNumberFormat="1" applyFont="1"/>
    <xf numFmtId="167" fontId="25" fillId="0" borderId="0" xfId="0" applyNumberFormat="1" applyFont="1"/>
    <xf numFmtId="0" fontId="32" fillId="0" borderId="18" xfId="0" applyFont="1" applyBorder="1"/>
    <xf numFmtId="166" fontId="25" fillId="0" borderId="19" xfId="0" applyNumberFormat="1" applyFont="1" applyBorder="1"/>
    <xf numFmtId="167" fontId="25" fillId="0" borderId="19" xfId="0" applyNumberFormat="1" applyFont="1" applyBorder="1"/>
    <xf numFmtId="0" fontId="25" fillId="0" borderId="19" xfId="0" applyFont="1" applyBorder="1"/>
    <xf numFmtId="0" fontId="25" fillId="0" borderId="0" xfId="0" applyFont="1" applyAlignment="1">
      <alignment horizontal="left"/>
    </xf>
    <xf numFmtId="0" fontId="30" fillId="0" borderId="21" xfId="0" applyFont="1" applyBorder="1"/>
    <xf numFmtId="0" fontId="32" fillId="0" borderId="0" xfId="0" applyFont="1"/>
    <xf numFmtId="0" fontId="30" fillId="0" borderId="28" xfId="0" applyFont="1" applyBorder="1" applyAlignment="1">
      <alignment horizontal="left"/>
    </xf>
    <xf numFmtId="0" fontId="30" fillId="0" borderId="29" xfId="0" applyFont="1" applyBorder="1"/>
    <xf numFmtId="0" fontId="30" fillId="0" borderId="30" xfId="0" applyFont="1" applyBorder="1"/>
    <xf numFmtId="0" fontId="30" fillId="0" borderId="31" xfId="0" applyFont="1" applyBorder="1" applyAlignment="1">
      <alignment horizontal="left"/>
    </xf>
    <xf numFmtId="0" fontId="30" fillId="0" borderId="32" xfId="0" applyFont="1" applyBorder="1"/>
    <xf numFmtId="0" fontId="30" fillId="0" borderId="33" xfId="0" applyFont="1" applyBorder="1"/>
    <xf numFmtId="0" fontId="30" fillId="0" borderId="34" xfId="0" applyFont="1" applyBorder="1" applyAlignment="1">
      <alignment horizontal="left"/>
    </xf>
    <xf numFmtId="0" fontId="30" fillId="0" borderId="35" xfId="0" applyFont="1" applyBorder="1"/>
    <xf numFmtId="0" fontId="30" fillId="0" borderId="36" xfId="0" applyFont="1" applyBorder="1"/>
    <xf numFmtId="0" fontId="30" fillId="0" borderId="28" xfId="0" applyFont="1" applyBorder="1"/>
    <xf numFmtId="0" fontId="30" fillId="0" borderId="31" xfId="0" applyFont="1" applyBorder="1"/>
    <xf numFmtId="0" fontId="30" fillId="0" borderId="34" xfId="0" applyFont="1" applyBorder="1"/>
    <xf numFmtId="0" fontId="30" fillId="2" borderId="35" xfId="0" applyFont="1" applyFill="1" applyBorder="1"/>
    <xf numFmtId="0" fontId="36" fillId="0" borderId="0" xfId="0" applyFont="1"/>
    <xf numFmtId="0" fontId="37" fillId="0" borderId="0" xfId="0" applyFont="1"/>
    <xf numFmtId="0" fontId="26" fillId="0" borderId="28" xfId="0" applyFont="1" applyBorder="1" applyAlignment="1">
      <alignment vertical="center"/>
    </xf>
    <xf numFmtId="0" fontId="26" fillId="0" borderId="29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0" fontId="26" fillId="0" borderId="32" xfId="0" applyFont="1" applyBorder="1" applyAlignment="1">
      <alignment vertical="center"/>
    </xf>
    <xf numFmtId="0" fontId="26" fillId="0" borderId="34" xfId="0" applyFont="1" applyBorder="1" applyAlignment="1">
      <alignment vertical="center"/>
    </xf>
    <xf numFmtId="0" fontId="38" fillId="0" borderId="12" xfId="0" applyFont="1" applyBorder="1"/>
    <xf numFmtId="0" fontId="39" fillId="0" borderId="12" xfId="0" applyFont="1" applyBorder="1"/>
    <xf numFmtId="164" fontId="0" fillId="0" borderId="0" xfId="0" applyNumberFormat="1" applyAlignment="1">
      <alignment horizontal="right"/>
    </xf>
    <xf numFmtId="0" fontId="0" fillId="0" borderId="0" xfId="0" applyProtection="1">
      <protection locked="0"/>
    </xf>
    <xf numFmtId="49" fontId="22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21" fillId="3" borderId="10" xfId="0" applyFont="1" applyFill="1" applyBorder="1" applyProtection="1">
      <protection locked="0"/>
    </xf>
    <xf numFmtId="0" fontId="22" fillId="0" borderId="0" xfId="0" applyFont="1" applyProtection="1">
      <protection locked="0"/>
    </xf>
    <xf numFmtId="2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70" fontId="0" fillId="0" borderId="0" xfId="0" applyNumberFormat="1" applyProtection="1">
      <protection locked="0"/>
    </xf>
    <xf numFmtId="3" fontId="15" fillId="0" borderId="0" xfId="0" applyNumberFormat="1" applyFont="1" applyAlignment="1">
      <alignment horizontal="left" vertical="center"/>
    </xf>
    <xf numFmtId="3" fontId="0" fillId="0" borderId="0" xfId="0" applyNumberFormat="1" applyProtection="1">
      <protection locked="0"/>
    </xf>
    <xf numFmtId="171" fontId="21" fillId="3" borderId="10" xfId="0" applyNumberFormat="1" applyFont="1" applyFill="1" applyBorder="1" applyProtection="1">
      <protection locked="0"/>
    </xf>
    <xf numFmtId="171" fontId="0" fillId="0" borderId="0" xfId="0" applyNumberFormat="1" applyProtection="1">
      <protection locked="0"/>
    </xf>
    <xf numFmtId="14" fontId="43" fillId="0" borderId="0" xfId="0" applyNumberFormat="1" applyFont="1"/>
    <xf numFmtId="164" fontId="22" fillId="0" borderId="0" xfId="0" applyNumberFormat="1" applyFont="1"/>
    <xf numFmtId="3" fontId="9" fillId="0" borderId="0" xfId="0" applyNumberFormat="1" applyFont="1"/>
    <xf numFmtId="165" fontId="22" fillId="0" borderId="0" xfId="0" applyNumberFormat="1" applyFont="1"/>
    <xf numFmtId="0" fontId="25" fillId="0" borderId="19" xfId="0" applyFont="1" applyBorder="1"/>
    <xf numFmtId="0" fontId="25" fillId="0" borderId="20" xfId="0" applyFont="1" applyBorder="1"/>
    <xf numFmtId="0" fontId="25" fillId="0" borderId="16" xfId="0" applyFont="1" applyBorder="1"/>
    <xf numFmtId="0" fontId="25" fillId="0" borderId="17" xfId="0" applyFont="1" applyBorder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7" xfId="0" applyFont="1" applyBorder="1" applyAlignment="1">
      <alignment horizontal="left"/>
    </xf>
    <xf numFmtId="0" fontId="25" fillId="0" borderId="22" xfId="0" applyFont="1" applyBorder="1" applyAlignment="1">
      <alignment horizontal="left"/>
    </xf>
    <xf numFmtId="0" fontId="25" fillId="0" borderId="23" xfId="0" applyFont="1" applyBorder="1" applyAlignment="1">
      <alignment horizontal="left"/>
    </xf>
    <xf numFmtId="0" fontId="25" fillId="0" borderId="24" xfId="0" applyFont="1" applyBorder="1" applyAlignment="1">
      <alignment horizontal="left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26" fillId="0" borderId="31" xfId="0" applyFont="1" applyBorder="1" applyAlignment="1">
      <alignment vertical="center"/>
    </xf>
    <xf numFmtId="0" fontId="31" fillId="0" borderId="32" xfId="0" applyFont="1" applyBorder="1" applyAlignment="1">
      <alignment vertical="center"/>
    </xf>
    <xf numFmtId="0" fontId="30" fillId="0" borderId="32" xfId="0" applyFont="1" applyBorder="1" applyAlignment="1">
      <alignment horizontal="center" vertical="center"/>
    </xf>
    <xf numFmtId="0" fontId="31" fillId="0" borderId="33" xfId="0" applyFont="1" applyBorder="1" applyAlignment="1">
      <alignment vertical="center"/>
    </xf>
    <xf numFmtId="168" fontId="30" fillId="0" borderId="32" xfId="0" applyNumberFormat="1" applyFont="1" applyBorder="1" applyAlignment="1">
      <alignment horizontal="center" vertical="center"/>
    </xf>
    <xf numFmtId="168" fontId="30" fillId="0" borderId="33" xfId="0" applyNumberFormat="1" applyFont="1" applyBorder="1" applyAlignment="1">
      <alignment horizontal="center" vertical="center"/>
    </xf>
    <xf numFmtId="14" fontId="30" fillId="0" borderId="35" xfId="0" applyNumberFormat="1" applyFont="1" applyBorder="1" applyAlignment="1">
      <alignment horizontal="center" vertical="center"/>
    </xf>
    <xf numFmtId="14" fontId="30" fillId="0" borderId="36" xfId="0" applyNumberFormat="1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31" fillId="0" borderId="42" xfId="0" applyFont="1" applyBorder="1" applyAlignment="1">
      <alignment vertical="center"/>
    </xf>
    <xf numFmtId="14" fontId="41" fillId="0" borderId="37" xfId="0" applyNumberFormat="1" applyFont="1" applyBorder="1" applyAlignment="1" applyProtection="1">
      <alignment horizontal="center" vertical="center"/>
      <protection locked="0"/>
    </xf>
    <xf numFmtId="14" fontId="41" fillId="0" borderId="38" xfId="0" applyNumberFormat="1" applyFont="1" applyBorder="1" applyAlignment="1" applyProtection="1">
      <alignment horizontal="center" vertical="center"/>
      <protection locked="0"/>
    </xf>
    <xf numFmtId="0" fontId="30" fillId="0" borderId="39" xfId="0" applyFont="1" applyBorder="1" applyAlignment="1">
      <alignment horizontal="center" vertical="center"/>
    </xf>
    <xf numFmtId="0" fontId="31" fillId="0" borderId="40" xfId="0" applyFont="1" applyBorder="1" applyAlignment="1">
      <alignment vertical="center"/>
    </xf>
    <xf numFmtId="0" fontId="26" fillId="0" borderId="34" xfId="0" applyFont="1" applyBorder="1" applyAlignment="1">
      <alignment vertical="center"/>
    </xf>
    <xf numFmtId="0" fontId="31" fillId="0" borderId="35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40" fillId="0" borderId="39" xfId="0" applyFont="1" applyBorder="1" applyAlignment="1" applyProtection="1">
      <alignment horizontal="center" vertical="center"/>
      <protection locked="0"/>
    </xf>
    <xf numFmtId="0" fontId="40" fillId="0" borderId="40" xfId="0" applyFont="1" applyBorder="1" applyAlignment="1" applyProtection="1">
      <alignment horizontal="center" vertical="center"/>
      <protection locked="0"/>
    </xf>
    <xf numFmtId="0" fontId="35" fillId="0" borderId="0" xfId="0" applyFont="1"/>
    <xf numFmtId="0" fontId="30" fillId="0" borderId="16" xfId="0" applyFont="1" applyBorder="1"/>
    <xf numFmtId="0" fontId="30" fillId="0" borderId="0" xfId="0" applyFont="1"/>
    <xf numFmtId="0" fontId="0" fillId="0" borderId="0" xfId="0" applyProtection="1">
      <protection locked="0"/>
    </xf>
    <xf numFmtId="0" fontId="25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" fillId="0" borderId="1" xfId="0" applyFont="1" applyBorder="1"/>
    <xf numFmtId="0" fontId="2" fillId="0" borderId="1" xfId="0" applyFont="1" applyBorder="1"/>
    <xf numFmtId="0" fontId="42" fillId="0" borderId="0" xfId="0" applyFont="1" applyProtection="1">
      <protection locked="0"/>
    </xf>
    <xf numFmtId="0" fontId="4" fillId="0" borderId="0" xfId="0" applyFont="1" applyAlignment="1">
      <alignment horizontal="center"/>
    </xf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69" fontId="20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</cellXfs>
  <cellStyles count="1">
    <cellStyle name="Normal" xfId="0" builtinId="0"/>
  </cellStyles>
  <dxfs count="99">
    <dxf>
      <numFmt numFmtId="0" formatCode="General"/>
    </dxf>
    <dxf>
      <numFmt numFmtId="0" formatCode="General"/>
    </dxf>
    <dxf>
      <numFmt numFmtId="165" formatCode="0\ &quot;NM&quot;"/>
    </dxf>
    <dxf>
      <numFmt numFmtId="164" formatCode="0.00\ \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170" formatCode="#,##0.00\ &quot;€&quot;"/>
      <protection locked="0" hidden="0"/>
    </dxf>
    <dxf>
      <numFmt numFmtId="170" formatCode="#,##0.00\ &quot;€&quot;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" formatCode="#,##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1" formatCode="d/m/yy\ h:mm;@"/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34A853"/>
          <bgColor rgb="FF34A853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theme="7"/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theme="7"/>
          <bgColor theme="7"/>
        </patternFill>
      </fill>
    </dxf>
    <dxf>
      <font>
        <color rgb="FF008000"/>
      </font>
      <fill>
        <patternFill patternType="solid">
          <fgColor rgb="FF008000"/>
          <bgColor rgb="FF00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0</xdr:rowOff>
    </xdr:from>
    <xdr:ext cx="914400" cy="781050"/>
    <xdr:pic>
      <xdr:nvPicPr>
        <xdr:cNvPr id="3" name="image2.png" title="Imag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724275"/>
          <a:ext cx="914400" cy="78105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14</xdr:row>
      <xdr:rowOff>19049</xdr:rowOff>
    </xdr:from>
    <xdr:ext cx="1010964" cy="771526"/>
    <xdr:pic>
      <xdr:nvPicPr>
        <xdr:cNvPr id="4" name="image1.png" title="Im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695700" y="3743324"/>
          <a:ext cx="1010964" cy="771526"/>
        </a:xfrm>
        <a:prstGeom prst="rect">
          <a:avLst/>
        </a:prstGeom>
        <a:noFill/>
      </xdr:spPr>
    </xdr:pic>
    <xdr:clientData fLocksWithSheet="0"/>
  </xdr:oneCellAnchor>
  <xdr:oneCellAnchor>
    <xdr:from>
      <xdr:col>6</xdr:col>
      <xdr:colOff>57150</xdr:colOff>
      <xdr:row>14</xdr:row>
      <xdr:rowOff>38100</xdr:rowOff>
    </xdr:from>
    <xdr:ext cx="885826" cy="638175"/>
    <xdr:pic>
      <xdr:nvPicPr>
        <xdr:cNvPr id="5" name="image4.png" title="Imag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258050" y="2476500"/>
          <a:ext cx="885826" cy="6381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9</xdr:col>
      <xdr:colOff>648002</xdr:colOff>
      <xdr:row>2</xdr:row>
      <xdr:rowOff>337759</xdr:rowOff>
    </xdr:from>
    <xdr:to>
      <xdr:col>12</xdr:col>
      <xdr:colOff>412768</xdr:colOff>
      <xdr:row>9</xdr:row>
      <xdr:rowOff>0</xdr:rowOff>
    </xdr:to>
    <xdr:pic macro="[0]!CHECK_VEHICULE">
      <xdr:nvPicPr>
        <xdr:cNvPr id="8" name="Graphique 7" descr="Mécanicien avec un remplissage uni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955538" y="909259"/>
          <a:ext cx="2295694" cy="1689705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715930</xdr:colOff>
      <xdr:row>2</xdr:row>
      <xdr:rowOff>313854</xdr:rowOff>
    </xdr:from>
    <xdr:to>
      <xdr:col>5</xdr:col>
      <xdr:colOff>616323</xdr:colOff>
      <xdr:row>9</xdr:row>
      <xdr:rowOff>142438</xdr:rowOff>
    </xdr:to>
    <xdr:pic macro="[0]!recherche">
      <xdr:nvPicPr>
        <xdr:cNvPr id="15" name="Graphique 14" descr="Voiture avec un remplissage uni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37136" y="896560"/>
          <a:ext cx="1861422" cy="1856849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1072326</xdr:colOff>
      <xdr:row>2</xdr:row>
      <xdr:rowOff>144057</xdr:rowOff>
    </xdr:from>
    <xdr:to>
      <xdr:col>19</xdr:col>
      <xdr:colOff>381000</xdr:colOff>
      <xdr:row>9</xdr:row>
      <xdr:rowOff>87746</xdr:rowOff>
    </xdr:to>
    <xdr:pic macro="[0]!ExporterEnPDF">
      <xdr:nvPicPr>
        <xdr:cNvPr id="17" name="Graphique 16" descr="Disque avec un remplissage uni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897433" y="715557"/>
          <a:ext cx="2030103" cy="1971153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56</xdr:row>
          <xdr:rowOff>209550</xdr:rowOff>
        </xdr:from>
        <xdr:to>
          <xdr:col>7</xdr:col>
          <xdr:colOff>590550</xdr:colOff>
          <xdr:row>57</xdr:row>
          <xdr:rowOff>200025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57</xdr:row>
          <xdr:rowOff>209550</xdr:rowOff>
        </xdr:from>
        <xdr:to>
          <xdr:col>7</xdr:col>
          <xdr:colOff>590550</xdr:colOff>
          <xdr:row>58</xdr:row>
          <xdr:rowOff>200025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58</xdr:row>
          <xdr:rowOff>209550</xdr:rowOff>
        </xdr:from>
        <xdr:to>
          <xdr:col>7</xdr:col>
          <xdr:colOff>590550</xdr:colOff>
          <xdr:row>59</xdr:row>
          <xdr:rowOff>200025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59</xdr:row>
          <xdr:rowOff>209550</xdr:rowOff>
        </xdr:from>
        <xdr:to>
          <xdr:col>7</xdr:col>
          <xdr:colOff>590550</xdr:colOff>
          <xdr:row>60</xdr:row>
          <xdr:rowOff>200025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60</xdr:row>
          <xdr:rowOff>209550</xdr:rowOff>
        </xdr:from>
        <xdr:to>
          <xdr:col>7</xdr:col>
          <xdr:colOff>600075</xdr:colOff>
          <xdr:row>61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61</xdr:row>
          <xdr:rowOff>219075</xdr:rowOff>
        </xdr:from>
        <xdr:to>
          <xdr:col>7</xdr:col>
          <xdr:colOff>609600</xdr:colOff>
          <xdr:row>62</xdr:row>
          <xdr:rowOff>209550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62</xdr:row>
          <xdr:rowOff>219075</xdr:rowOff>
        </xdr:from>
        <xdr:to>
          <xdr:col>7</xdr:col>
          <xdr:colOff>609600</xdr:colOff>
          <xdr:row>64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oneCellAnchor>
    <xdr:from>
      <xdr:col>0</xdr:col>
      <xdr:colOff>314327</xdr:colOff>
      <xdr:row>1</xdr:row>
      <xdr:rowOff>133350</xdr:rowOff>
    </xdr:from>
    <xdr:ext cx="1676840" cy="1620000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314327" y="342900"/>
          <a:ext cx="1676840" cy="162000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1180768</xdr:colOff>
      <xdr:row>0</xdr:row>
      <xdr:rowOff>0</xdr:rowOff>
    </xdr:from>
    <xdr:ext cx="1039540" cy="886810"/>
    <xdr:pic>
      <xdr:nvPicPr>
        <xdr:cNvPr id="2" name="image3.pn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80768" y="0"/>
          <a:ext cx="1039540" cy="88681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355934</xdr:colOff>
      <xdr:row>0</xdr:row>
      <xdr:rowOff>214062</xdr:rowOff>
    </xdr:from>
    <xdr:ext cx="876300" cy="723900"/>
    <xdr:pic>
      <xdr:nvPicPr>
        <xdr:cNvPr id="2" name="image3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5934" y="214062"/>
          <a:ext cx="876300" cy="723900"/>
        </a:xfrm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4C5D24C5-6954-4212-B76F-F6938DBC1E82}" autoFormatId="16" applyNumberFormats="0" applyBorderFormats="0" applyFontFormats="0" applyPatternFormats="0" applyAlignmentFormats="0" applyWidthHeightFormats="0">
  <queryTableRefresh nextId="16">
    <queryTableFields count="11">
      <queryTableField id="1" name="Immatriculation" tableColumnId="1"/>
      <queryTableField id="13" dataBound="0" tableColumnId="2"/>
      <queryTableField id="15" dataBound="0" tableColumnId="12"/>
      <queryTableField id="4" name="Marque" tableColumnId="4"/>
      <queryTableField id="5" name="Modèle" tableColumnId="5"/>
      <queryTableField id="6" name="Année" tableColumnId="6"/>
      <queryTableField id="7" name="Réf_huile" tableColumnId="7"/>
      <queryTableField id="8" name="Quantité_huile" tableColumnId="8"/>
      <queryTableField id="9" name="Couple_bouchon_vidange" tableColumnId="9"/>
      <queryTableField id="10" name="Epaisseur_min_disque_avant" tableColumnId="10"/>
      <queryTableField id="11" name="Epaisseur_min_disque_arrière" tableColumnId="11"/>
    </queryTableFields>
    <queryTableDeletedFields count="2">
      <deletedField name="IDclient"/>
      <deletedField name="IDcheck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7A2F34-6FCB-4183-8174-46FA01DBDBB3}" name="CHECK" displayName="CHECK" ref="A1:BV223" totalsRowShown="0" headerRowDxfId="84" dataDxfId="83">
  <autoFilter ref="A1:BV223" xr:uid="{E37A2F34-6FCB-4183-8174-46FA01DBDBB3}"/>
  <tableColumns count="74">
    <tableColumn id="2" xr3:uid="{0483D80D-CBA5-4E4C-9682-4939E9E08B25}" name="Immatriculation" dataDxfId="82"/>
    <tableColumn id="3" xr3:uid="{53E77E12-4142-4C1E-B761-C7C2BF224234}" name="DATE_DU_CONTROLE" dataDxfId="81"/>
    <tableColumn id="6" xr3:uid="{DC4F295B-394A-4876-A770-C47EAA83DEE8}" name="NOM" dataDxfId="80"/>
    <tableColumn id="7" xr3:uid="{514F9228-F87B-4FA8-87C3-387FFB77F117}" name="MECANICIEN" dataDxfId="79"/>
    <tableColumn id="8" xr3:uid="{9F0D0E09-6081-4CC7-B555-96635D6BB417}" name="FILTRE A HUILE" dataDxfId="78"/>
    <tableColumn id="9" xr3:uid="{79C55ED0-4333-4879-BD7E-857B1E6A2896}" name="FILTRE A AIR" dataDxfId="77"/>
    <tableColumn id="10" xr3:uid="{E4D413CA-521C-4191-A9D1-A3BF3B28F089}" name="FILTRE A HABITACLE" dataDxfId="76"/>
    <tableColumn id="11" xr3:uid="{167ACE15-090C-49CB-BF2D-177536058ABD}" name="FILTRE CARBURANT" dataDxfId="75"/>
    <tableColumn id="12" xr3:uid="{F9D4CECC-B5D9-46DF-B10D-C7876EE5CB3D}" name="COUPLE BOUCHON VID" dataDxfId="74"/>
    <tableColumn id="16" xr3:uid="{C9C8EF8D-AD68-40F9-9776-D51D97293691}" name="DISQUES AVANT EN MM" dataDxfId="73"/>
    <tableColumn id="17" xr3:uid="{6345422D-0E06-4368-A5CF-26F9B1C5E579}" name="DISQUE ARRIERE EN MM" dataDxfId="72"/>
    <tableColumn id="18" xr3:uid="{9C3CC95E-B6B2-44A1-BA97-A5D1535DA25E}" name="MARQUE" dataDxfId="71"/>
    <tableColumn id="19" xr3:uid="{90A94497-84C7-4E36-B3DB-F115C77832D2}" name="MODEL" dataDxfId="70"/>
    <tableColumn id="20" xr3:uid="{527468F3-F180-4E45-A9DF-E134F4F97C41}" name="KILOMETRAGE" dataDxfId="69"/>
    <tableColumn id="21" xr3:uid="{80C8BA14-60B7-4B45-A65E-BCF3966BE7FD}" name="PROCHAIN C.T" dataDxfId="68"/>
    <tableColumn id="22" xr3:uid="{64C599A1-E1BE-491F-9097-1D9839EA4792}" name="Antivol de roue bon état" dataDxfId="67"/>
    <tableColumn id="23" xr3:uid="{F0C569C3-57D7-4177-BC57-E1C5B987426D}" name="Démarreur" dataDxfId="66"/>
    <tableColumn id="24" xr3:uid="{BED10CF8-504C-447D-A46E-AEE9B34BAD0E}" name="Témoin tableau de bord" dataDxfId="65"/>
    <tableColumn id="25" xr3:uid="{06246228-D239-449D-A980-6FC52B9DA1D2}" name="Rétroviseur" dataDxfId="64"/>
    <tableColumn id="26" xr3:uid="{99C92ED1-6BD2-40AE-9310-C60AFFB95D82}" name="klaxon" dataDxfId="63"/>
    <tableColumn id="27" xr3:uid="{34DB2C51-646A-4574-9625-85B4EBB606C6}" name="Frein à main" dataDxfId="62"/>
    <tableColumn id="28" xr3:uid="{A7D2AE9E-075E-4BFC-B086-A0C976BC13EE}" name="essuie glace" dataDxfId="61"/>
    <tableColumn id="29" xr3:uid="{BFA3F216-A4F7-4DD9-BFC2-82F05740E60F}" name="Eclairage" dataDxfId="60"/>
    <tableColumn id="30" xr3:uid="{8E749AE4-BE36-4E79-B919-64DB11C92B7B}" name="Jeux au volant" dataDxfId="59"/>
    <tableColumn id="31" xr3:uid="{D8616F44-4DAE-4809-A5A8-16D46D8B6FD1}" name="Roulement AVANT" dataDxfId="58"/>
    <tableColumn id="32" xr3:uid="{79277864-0992-4021-84E1-9AFBFDEBDF10}" name="Pneus avant" dataDxfId="57"/>
    <tableColumn id="33" xr3:uid="{CCDF8A92-4F72-4287-82FC-12C872643E5E}" name="Paralellisme" dataDxfId="56"/>
    <tableColumn id="34" xr3:uid="{6C327F03-453A-46C7-8A75-2E18AC650810}" name="Disque avant" dataDxfId="55"/>
    <tableColumn id="35" xr3:uid="{632FE1FA-5C08-4701-91C0-A3EACBED1221}" name="Plaquettes avant" dataDxfId="54"/>
    <tableColumn id="36" xr3:uid="{840BDEFA-1B59-483B-AA66-94E92F80D8AC}" name="Amortisseur avant" dataDxfId="53"/>
    <tableColumn id="37" xr3:uid="{95075A43-5F09-4B07-AAFC-C721DD5088BE}" name="Biellette barre stab" dataDxfId="52"/>
    <tableColumn id="38" xr3:uid="{DBEB306F-38EF-48BA-913D-39965BF6C97C}" name="Direction complet" dataDxfId="51"/>
    <tableColumn id="39" xr3:uid="{AF0E3842-C5CE-4A69-BE6A-F2AC3D7C5596}" name="Cardans" dataDxfId="50"/>
    <tableColumn id="40" xr3:uid="{19EDC57B-5AD4-46A1-8994-16B97AC505F8}" name="Triangles avant" dataDxfId="49"/>
    <tableColumn id="41" xr3:uid="{7B8808E4-4793-4778-BF9A-3AA2F8663EB2}" name="Flexible de frein" dataDxfId="48"/>
    <tableColumn id="42" xr3:uid="{6440287D-C426-40E7-BFB0-C5331CD037B9}" name="Teste batterie/alternateur" dataDxfId="47"/>
    <tableColumn id="43" xr3:uid="{03594521-5B05-4B21-94BE-6086357E0226}" name="Plaque immat AV" dataDxfId="46"/>
    <tableColumn id="44" xr3:uid="{0BFB0819-5AF0-41F9-B931-3EECE5CB5C4B}" name="Fuite boite" dataDxfId="45"/>
    <tableColumn id="45" xr3:uid="{1F313C73-3264-4C98-AF92-2B108B286BE8}" name="Fuite moteur" dataDxfId="44"/>
    <tableColumn id="46" xr3:uid="{ECE0E1DB-9F71-43AD-8E03-526B8D040FF8}" name="supports moteur " dataDxfId="43"/>
    <tableColumn id="47" xr3:uid="{B56E4865-2D87-4E30-891B-DE61070CE778}" name="Liquide de frein" dataDxfId="42"/>
    <tableColumn id="48" xr3:uid="{51174E28-35A6-47B1-8E58-3F18B587DBA3}" name="Filtre à air" dataDxfId="41"/>
    <tableColumn id="49" xr3:uid="{FA81ECE8-8B98-49D3-9DD4-646FF21DB38D}" name="Courroie accessoire" dataDxfId="40"/>
    <tableColumn id="50" xr3:uid="{0EBAAF80-8529-465E-B91D-FE0B7AEF590A}" name="Pneus AR" dataDxfId="39"/>
    <tableColumn id="51" xr3:uid="{44AEB99A-A618-492F-B102-0D6578346B08}" name="Frein AR" dataDxfId="38"/>
    <tableColumn id="52" xr3:uid="{034E2A4B-4374-4962-9330-C29475788987}" name="Roulement AR" dataDxfId="37"/>
    <tableColumn id="53" xr3:uid="{A01A041C-E553-45FD-AE6B-6C7EBEB66092}" name="Flexible AR" dataDxfId="36"/>
    <tableColumn id="54" xr3:uid="{926B5D73-F6E0-4DA7-9A50-25774C7706FF}" name="Amortisseur AR" dataDxfId="35"/>
    <tableColumn id="55" xr3:uid="{5410C069-1474-4D96-BC95-769E8F1DA1FD}" name="Silent Bloc AR" dataDxfId="34"/>
    <tableColumn id="56" xr3:uid="{F9F4A9A4-DF0C-4438-88AA-2D33DF187710}" name="Plaque immat AR" dataDxfId="33"/>
    <tableColumn id="57" xr3:uid="{4741A21F-457A-4E9C-A9FD-6F6D0688D9A6}" name="Antenne radio" dataDxfId="32"/>
    <tableColumn id="58" xr3:uid="{9FBE351B-F92D-4672-B7DF-FC3318DE4980}" name="Roue de secours" dataDxfId="31"/>
    <tableColumn id="59" xr3:uid="{3D8FD301-5341-498C-B620-9D9697C77CD4}" name="Gilet/Triangle secu" dataDxfId="30"/>
    <tableColumn id="60" xr3:uid="{D9926D3C-FE1A-4E94-9F97-E18CA1CBCAD8}" name="Crique / Clé roue" dataDxfId="29"/>
    <tableColumn id="1" xr3:uid="{304DA29F-5F34-4B15-B3D8-D1C1D4912C7A}" name="COMMENTAIRE 1" dataDxfId="28"/>
    <tableColumn id="5" xr3:uid="{14C8B01E-68CB-4FCD-AE5D-EF1FB405B19F}" name="COMMENTAIRE 2" dataDxfId="27"/>
    <tableColumn id="61" xr3:uid="{DC1E59E5-1775-4A03-BB3F-DBCC14AD1119}" name="COMMENTAIRE 3" dataDxfId="26"/>
    <tableColumn id="62" xr3:uid="{8A089D72-88DF-4271-B451-3F821C7DA236}" name="COMMENTAIRE 4" dataDxfId="25"/>
    <tableColumn id="63" xr3:uid="{EBA8BDAD-7DBD-4DC7-8D82-929C937C9018}" name="COMMENTAIRE 5" dataDxfId="24"/>
    <tableColumn id="64" xr3:uid="{B274C433-A9E8-4955-A620-D379509967D5}" name="COMMENTAIRE 6" dataDxfId="23"/>
    <tableColumn id="65" xr3:uid="{7187726A-66EA-4CE1-8CF0-134FA8F47292}" name="COMMENTAIRE 7" dataDxfId="22"/>
    <tableColumn id="66" xr3:uid="{D4C9F303-921F-4A1C-A9F8-FE9E58C2C319}" name="COMMENTAIRE 8" dataDxfId="21"/>
    <tableColumn id="67" xr3:uid="{E80B7BAC-2957-46FB-8793-DA3CC3ECAD8E}" name="COMMENTAIRE 9" dataDxfId="20"/>
    <tableColumn id="68" xr3:uid="{07775A6B-212D-4755-BAED-658FFD239401}" name="COMMENTAIRE 10" dataDxfId="19"/>
    <tableColumn id="4" xr3:uid="{0B232B40-5719-4FBC-992B-C8FFD6F45CE6}" name="MAIN D'ŒUVRE" dataDxfId="18"/>
    <tableColumn id="13" xr3:uid="{3D730390-D34C-4D9A-918A-F42E43B81E58}" name="RETOUR" dataDxfId="17"/>
    <tableColumn id="14" xr3:uid="{AED00138-A1D9-41B5-8422-9D915C0E5FE4}" name="DATE RETOUR" dataDxfId="16"/>
    <tableColumn id="15" xr3:uid="{513C05EE-2DBB-4254-B857-364B501DA254}" name="COMMENTAIRE RETOUR 1" dataDxfId="15"/>
    <tableColumn id="69" xr3:uid="{4D0BF685-693F-4322-AE24-9822A04C8A46}" name="COMMENTAIRE RETOUR 2" dataDxfId="14"/>
    <tableColumn id="70" xr3:uid="{900BE6D3-D3F9-430B-9682-F766AF13B88E}" name="COMMENTAIRE RETOUR 3" dataDxfId="13"/>
    <tableColumn id="71" xr3:uid="{B543AFBE-2821-4AD2-8199-16F3D6A38E0F}" name="COMMENTAIRE RETOUR 4" dataDxfId="12"/>
    <tableColumn id="72" xr3:uid="{7ACEC347-A982-40D1-96AC-38296B11894A}" name="commission mecano" dataDxfId="11"/>
    <tableColumn id="73" xr3:uid="{361D2420-197D-4A48-8121-0D3D3EBEF8F4}" name="Pénalité Mécano" dataDxfId="10"/>
    <tableColumn id="74" xr3:uid="{9AE13757-312F-4978-A2B0-FDEC3366AD99}" name="CLE IMMATRICULATION" dataDxfId="9">
      <calculatedColumnFormula>A2 &amp; "-" &amp; TEXT(B2, "jj/mm/aaaa") &amp; "-" &amp; COUNTIF($A$2:A223, A2)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33BF4C-C376-4AA6-8C92-4666534F4348}" name="VEHICULES" displayName="VEHICULES" ref="A1:K513" tableType="queryTable" totalsRowShown="0">
  <autoFilter ref="A1:K513" xr:uid="{2333BF4C-C376-4AA6-8C92-4666534F4348}"/>
  <tableColumns count="11">
    <tableColumn id="1" xr3:uid="{4B487B41-CECC-44A6-BFBB-72B5675F2072}" uniqueName="1" name="Immatriculation" queryTableFieldId="1" dataDxfId="8"/>
    <tableColumn id="2" xr3:uid="{B9555D69-E2A3-4659-AF20-473C000F4EF8}" uniqueName="2" name="NOM" queryTableFieldId="13"/>
    <tableColumn id="12" xr3:uid="{BF942E1B-9863-4B17-A31E-7779B028CE7A}" uniqueName="12" name="Portable" queryTableFieldId="15"/>
    <tableColumn id="4" xr3:uid="{F9B782FF-F59C-497A-983D-7E336EA19A99}" uniqueName="4" name="Marque" queryTableFieldId="4" dataDxfId="7"/>
    <tableColumn id="5" xr3:uid="{DDB7F0BA-D91C-4BAA-9495-8B0CAD7E7014}" uniqueName="5" name="Modèle" queryTableFieldId="5" dataDxfId="6"/>
    <tableColumn id="6" xr3:uid="{EFADCC6F-045F-484E-93F2-69250ECF1DEC}" uniqueName="6" name="Année" queryTableFieldId="6" dataDxfId="5"/>
    <tableColumn id="7" xr3:uid="{B7181BA6-7696-4B49-9BC1-FE0DAB239FD7}" uniqueName="7" name="Réf_huile" queryTableFieldId="7" dataDxfId="4"/>
    <tableColumn id="8" xr3:uid="{60E4B2DF-A3A9-45AE-8602-6DB1A230E004}" uniqueName="8" name="Quantité_huile" queryTableFieldId="8" dataDxfId="3"/>
    <tableColumn id="9" xr3:uid="{20947F49-F237-4B42-956B-8E18A003D9B2}" uniqueName="9" name="Couple_bouchon_vidange" queryTableFieldId="9" dataDxfId="2"/>
    <tableColumn id="10" xr3:uid="{554AC339-6AD7-4725-A7D9-2FE5B4C531E2}" uniqueName="10" name="Epaisseur_min_disque_avant" queryTableFieldId="10" dataDxfId="1"/>
    <tableColumn id="11" xr3:uid="{E175DAB4-2FA5-4BBF-8359-FB6655FB96DA}" uniqueName="11" name="Epaisseur_min_disque_arrière" queryTableFieldId="11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D6E09C-6F69-4A73-85ED-FD876A10540E}" name="MECANICIEN" displayName="MECANICIEN" ref="A1:A4" totalsRowShown="0">
  <autoFilter ref="A1:A4" xr:uid="{D9D6E09C-6F69-4A73-85ED-FD876A10540E}"/>
  <tableColumns count="1">
    <tableColumn id="2" xr3:uid="{CA06A393-75AF-43F2-8401-C6411D8B89B1}" name="NOM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  <pageSetUpPr fitToPage="1"/>
  </sheetPr>
  <dimension ref="A1:AA64"/>
  <sheetViews>
    <sheetView showGridLines="0" tabSelected="1" zoomScale="70" zoomScaleNormal="70" workbookViewId="0">
      <selection activeCell="N19" sqref="N19"/>
    </sheetView>
  </sheetViews>
  <sheetFormatPr baseColWidth="10" defaultColWidth="12.5703125" defaultRowHeight="15.75" customHeight="1" x14ac:dyDescent="0.2"/>
  <cols>
    <col min="1" max="1" width="23.42578125" customWidth="1"/>
    <col min="2" max="2" width="19.140625" customWidth="1"/>
    <col min="3" max="3" width="14.7109375" customWidth="1"/>
    <col min="4" max="4" width="12.7109375" customWidth="1"/>
    <col min="5" max="5" width="16.5703125" customWidth="1"/>
    <col min="6" max="6" width="15.85546875" customWidth="1"/>
    <col min="7" max="7" width="18.42578125" customWidth="1"/>
    <col min="8" max="8" width="18" customWidth="1"/>
    <col min="9" max="9" width="30.85546875" customWidth="1"/>
    <col min="14" max="14" width="17.140625" customWidth="1"/>
    <col min="15" max="15" width="23" hidden="1" customWidth="1"/>
    <col min="16" max="16" width="28.5703125" hidden="1" customWidth="1"/>
    <col min="17" max="17" width="28" customWidth="1"/>
    <col min="18" max="18" width="0.140625" customWidth="1"/>
  </cols>
  <sheetData>
    <row r="1" spans="1:9" ht="16.5" customHeight="1" x14ac:dyDescent="0.2"/>
    <row r="2" spans="1:9" ht="29.25" customHeight="1" x14ac:dyDescent="0.2"/>
    <row r="3" spans="1:9" ht="26.25" customHeight="1" x14ac:dyDescent="0.2">
      <c r="C3" s="121" t="s">
        <v>10</v>
      </c>
      <c r="D3" s="122"/>
      <c r="F3" s="25" t="s">
        <v>11</v>
      </c>
      <c r="G3" s="115">
        <v>45462.398287037038</v>
      </c>
      <c r="H3" s="116"/>
    </row>
    <row r="4" spans="1:9" ht="15" x14ac:dyDescent="0.2">
      <c r="C4" s="123" t="s">
        <v>12</v>
      </c>
      <c r="D4" s="123"/>
    </row>
    <row r="5" spans="1:9" ht="15" x14ac:dyDescent="0.2">
      <c r="C5" s="123" t="s">
        <v>13</v>
      </c>
      <c r="D5" s="123"/>
      <c r="G5" s="103" t="str">
        <f>INDEX(CHECK_VEHICULE!D:D, MATCH(DATE_HEURE, CHECK_VEHICULE!B:B,0 ))</f>
        <v>DORALI Iclass</v>
      </c>
      <c r="H5" s="104"/>
    </row>
    <row r="6" spans="1:9" ht="15" x14ac:dyDescent="0.2">
      <c r="C6" s="123" t="s">
        <v>14</v>
      </c>
      <c r="D6" s="123"/>
    </row>
    <row r="7" spans="1:9" ht="15" x14ac:dyDescent="0.2">
      <c r="C7" s="123"/>
      <c r="D7" s="123"/>
    </row>
    <row r="8" spans="1:9" ht="54" customHeight="1" thickBot="1" x14ac:dyDescent="0.25"/>
    <row r="9" spans="1:9" ht="20.100000000000001" customHeight="1" x14ac:dyDescent="0.2">
      <c r="A9" s="69" t="s">
        <v>0</v>
      </c>
      <c r="B9" s="70"/>
      <c r="C9" s="124" t="s">
        <v>2780</v>
      </c>
      <c r="D9" s="125"/>
      <c r="E9" s="26"/>
      <c r="F9" s="69" t="s">
        <v>2</v>
      </c>
      <c r="G9" s="117" t="str">
        <f>VLOOKUP(C9,VEHICULES!$A:$K,2,FALSE)</f>
        <v>MAKHLOUFI</v>
      </c>
      <c r="H9" s="118"/>
    </row>
    <row r="10" spans="1:9" ht="20.100000000000001" customHeight="1" thickBot="1" x14ac:dyDescent="0.25">
      <c r="A10" s="71" t="s">
        <v>6</v>
      </c>
      <c r="B10" s="72"/>
      <c r="C10" s="107" t="str">
        <f>VLOOKUP(C9,VEHICULES!$A:$L,4,FALSE)</f>
        <v>DACIA</v>
      </c>
      <c r="D10" s="108"/>
      <c r="E10" s="26"/>
      <c r="F10" s="73" t="s">
        <v>15</v>
      </c>
      <c r="G10" s="113">
        <f>VLOOKUP(C9,VEHICULES!$A:$K,3,FALSE)</f>
        <v>0</v>
      </c>
      <c r="H10" s="114"/>
    </row>
    <row r="11" spans="1:9" ht="20.100000000000001" customHeight="1" x14ac:dyDescent="0.2">
      <c r="A11" s="71" t="s">
        <v>7</v>
      </c>
      <c r="B11" s="72"/>
      <c r="C11" s="107" t="str">
        <f>VLOOKUP(C9,VEHICULES!$A:$L,5,FALSE)</f>
        <v>DUSTER</v>
      </c>
      <c r="D11" s="108"/>
      <c r="E11" s="26"/>
      <c r="F11" s="27"/>
      <c r="G11" s="28"/>
      <c r="H11" s="29"/>
    </row>
    <row r="12" spans="1:9" ht="20.100000000000001" customHeight="1" x14ac:dyDescent="0.2">
      <c r="A12" s="105" t="s">
        <v>8</v>
      </c>
      <c r="B12" s="106"/>
      <c r="C12" s="109">
        <f>INDEX(CHECK_VEHICULE!N:N, MATCH(DATE_HEURE, CHECK_VEHICULE!B:B, 0))</f>
        <v>42233</v>
      </c>
      <c r="D12" s="110"/>
      <c r="E12" s="26"/>
      <c r="F12" s="26"/>
      <c r="G12" s="26"/>
      <c r="H12" s="26"/>
    </row>
    <row r="13" spans="1:9" ht="20.100000000000001" customHeight="1" thickBot="1" x14ac:dyDescent="0.25">
      <c r="A13" s="119" t="s">
        <v>9</v>
      </c>
      <c r="B13" s="120"/>
      <c r="C13" s="111">
        <f>INDEX(CHECK_VEHICULE!O:O, MATCH(DATE_HEURE, CHECK_VEHICULE!B:B,0 ))</f>
        <v>0</v>
      </c>
      <c r="D13" s="112"/>
      <c r="E13" s="26"/>
      <c r="F13" s="26"/>
      <c r="G13" s="26"/>
      <c r="H13" s="26"/>
    </row>
    <row r="14" spans="1:9" ht="18.75" customHeight="1" thickBot="1" x14ac:dyDescent="0.35">
      <c r="A14" s="30"/>
      <c r="B14" s="30"/>
      <c r="C14" s="30"/>
      <c r="D14" s="30"/>
      <c r="E14" s="30"/>
      <c r="F14" s="30"/>
      <c r="G14" s="30"/>
      <c r="H14" s="30"/>
    </row>
    <row r="15" spans="1:9" ht="21" thickTop="1" x14ac:dyDescent="0.3">
      <c r="A15" s="31"/>
      <c r="B15" s="32"/>
      <c r="C15" s="30"/>
      <c r="D15" s="31"/>
      <c r="E15" s="32"/>
      <c r="F15" s="30"/>
      <c r="G15" s="31"/>
      <c r="H15" s="32"/>
      <c r="I15" s="1"/>
    </row>
    <row r="16" spans="1:9" ht="20.25" x14ac:dyDescent="0.3">
      <c r="A16" s="33"/>
      <c r="B16" s="34"/>
      <c r="C16" s="30"/>
      <c r="D16" s="33"/>
      <c r="E16" s="34"/>
      <c r="F16" s="30"/>
      <c r="G16" s="33"/>
      <c r="H16" s="34"/>
      <c r="I16" s="1"/>
    </row>
    <row r="17" spans="1:9" ht="21" thickBot="1" x14ac:dyDescent="0.35">
      <c r="A17" s="35"/>
      <c r="B17" s="36"/>
      <c r="C17" s="30"/>
      <c r="D17" s="35"/>
      <c r="E17" s="36"/>
      <c r="F17" s="30"/>
      <c r="G17" s="35"/>
      <c r="H17" s="36"/>
      <c r="I17" s="1"/>
    </row>
    <row r="18" spans="1:9" ht="15.75" customHeight="1" thickTop="1" thickBot="1" x14ac:dyDescent="0.35">
      <c r="A18" s="30"/>
      <c r="B18" s="30"/>
      <c r="C18" s="30"/>
      <c r="D18" s="30"/>
      <c r="E18" s="30"/>
      <c r="F18" s="30"/>
      <c r="G18" s="30"/>
      <c r="H18" s="30"/>
    </row>
    <row r="19" spans="1:9" ht="21.95" customHeight="1" x14ac:dyDescent="0.3">
      <c r="A19" s="74" t="s">
        <v>1456</v>
      </c>
      <c r="B19" s="54" t="s">
        <v>16</v>
      </c>
      <c r="C19" s="55"/>
      <c r="D19" s="56" t="str">
        <f>INDEX(CHECK_VEHICULE!P:P, MATCH(DATE_HEURE, CHECK_VEHICULE!B:B,0 ))</f>
        <v>N/C</v>
      </c>
      <c r="E19" s="74" t="s">
        <v>17</v>
      </c>
      <c r="F19" s="63" t="s">
        <v>18</v>
      </c>
      <c r="G19" s="55"/>
      <c r="H19" s="56" t="str">
        <f>INDEX(CHECK_VEHICULE!AJ:AJ, MATCH(DATE_HEURE, CHECK_VEHICULE!B:B,0 ))</f>
        <v>OUI</v>
      </c>
      <c r="I19" s="1"/>
    </row>
    <row r="20" spans="1:9" ht="21.95" customHeight="1" x14ac:dyDescent="0.3">
      <c r="A20" s="37"/>
      <c r="B20" s="57" t="s">
        <v>19</v>
      </c>
      <c r="C20" s="58"/>
      <c r="D20" s="59" t="str">
        <f>INDEX(CHECK_VEHICULE!Q:Q, MATCH(DATE_HEURE, CHECK_VEHICULE!$B:$B,0 ))</f>
        <v>OUI</v>
      </c>
      <c r="E20" s="37"/>
      <c r="F20" s="64" t="s">
        <v>20</v>
      </c>
      <c r="G20" s="58"/>
      <c r="H20" s="59" t="str">
        <f>INDEX(CHECK_VEHICULE!AK:AK, MATCH(DATE_HEURE, CHECK_VEHICULE!B:B,0 ))</f>
        <v>OUI</v>
      </c>
    </row>
    <row r="21" spans="1:9" ht="21.95" customHeight="1" x14ac:dyDescent="0.3">
      <c r="A21" s="37"/>
      <c r="B21" s="57" t="s">
        <v>21</v>
      </c>
      <c r="C21" s="58"/>
      <c r="D21" s="59" t="str">
        <f>INDEX(CHECK_VEHICULE!R:R, MATCH(DATE_HEURE, CHECK_VEHICULE!B:B,0 ))</f>
        <v>HS</v>
      </c>
      <c r="E21" s="37"/>
      <c r="F21" s="64" t="s">
        <v>22</v>
      </c>
      <c r="G21" s="58"/>
      <c r="H21" s="59" t="str">
        <f>INDEX(CHECK_VEHICULE!AL:AL, MATCH(DATE_HEURE, CHECK_VEHICULE!B:B,0 ))</f>
        <v>OUI</v>
      </c>
      <c r="I21" s="1"/>
    </row>
    <row r="22" spans="1:9" ht="21.95" customHeight="1" x14ac:dyDescent="0.3">
      <c r="A22" s="37"/>
      <c r="B22" s="57" t="s">
        <v>23</v>
      </c>
      <c r="C22" s="58"/>
      <c r="D22" s="59" t="str">
        <f>INDEX(CHECK_VEHICULE!S:S, MATCH(DATE_HEURE, CHECK_VEHICULE!B:B,0 ))</f>
        <v>OUI</v>
      </c>
      <c r="E22" s="37"/>
      <c r="F22" s="64" t="s">
        <v>24</v>
      </c>
      <c r="G22" s="58"/>
      <c r="H22" s="59" t="str">
        <f>INDEX(CHECK_VEHICULE!AM:AM, MATCH(DATE_HEURE, CHECK_VEHICULE!B:B,0 ))</f>
        <v>OUI</v>
      </c>
      <c r="I22" s="1"/>
    </row>
    <row r="23" spans="1:9" ht="21.95" customHeight="1" x14ac:dyDescent="0.3">
      <c r="A23" s="37"/>
      <c r="B23" s="57" t="s">
        <v>25</v>
      </c>
      <c r="C23" s="58"/>
      <c r="D23" s="59" t="str">
        <f>INDEX(CHECK_VEHICULE!T:T, MATCH(DATE_HEURE, CHECK_VEHICULE!B:B,0 ))</f>
        <v>HS</v>
      </c>
      <c r="E23" s="37"/>
      <c r="F23" s="64" t="s">
        <v>26</v>
      </c>
      <c r="G23" s="58"/>
      <c r="H23" s="59" t="str">
        <f>INDEX(CHECK_VEHICULE!AN:AN, MATCH(DATE_HEURE, CHECK_VEHICULE!B:B,0 ))</f>
        <v>OUI</v>
      </c>
      <c r="I23" s="1"/>
    </row>
    <row r="24" spans="1:9" ht="21.95" customHeight="1" x14ac:dyDescent="0.3">
      <c r="A24" s="37"/>
      <c r="B24" s="57" t="s">
        <v>27</v>
      </c>
      <c r="C24" s="58"/>
      <c r="D24" s="59" t="str">
        <f>INDEX(CHECK_VEHICULE!U:U, MATCH(DATE_HEURE, CHECK_VEHICULE!B:B,0 ))</f>
        <v>OUI</v>
      </c>
      <c r="E24" s="37"/>
      <c r="F24" s="64" t="s">
        <v>28</v>
      </c>
      <c r="G24" s="58"/>
      <c r="H24" s="59" t="str">
        <f>INDEX(CHECK_VEHICULE!AO:AO, MATCH(DATE_HEURE, CHECK_VEHICULE!B:B,0 ))</f>
        <v>OUI</v>
      </c>
      <c r="I24" s="1"/>
    </row>
    <row r="25" spans="1:9" ht="21.95" customHeight="1" x14ac:dyDescent="0.3">
      <c r="A25" s="37"/>
      <c r="B25" s="57" t="s">
        <v>29</v>
      </c>
      <c r="C25" s="58"/>
      <c r="D25" s="59" t="str">
        <f>INDEX(CHECK_VEHICULE!V:V, MATCH(DATE_HEURE, CHECK_VEHICULE!B:B,0 ))</f>
        <v>OUI</v>
      </c>
      <c r="E25" s="37"/>
      <c r="F25" s="64" t="s">
        <v>30</v>
      </c>
      <c r="G25" s="58"/>
      <c r="H25" s="59" t="str">
        <f>INDEX(CHECK_VEHICULE!AP:AP, MATCH(DATE_HEURE, CHECK_VEHICULE!B:B,0 ))</f>
        <v>OUI</v>
      </c>
      <c r="I25" s="1"/>
    </row>
    <row r="26" spans="1:9" ht="21.95" customHeight="1" x14ac:dyDescent="0.3">
      <c r="A26" s="37"/>
      <c r="B26" s="57" t="s">
        <v>31</v>
      </c>
      <c r="C26" s="58"/>
      <c r="D26" s="59" t="str">
        <f>INDEX(CHECK_VEHICULE!W:W, MATCH(DATE_HEURE, CHECK_VEHICULE!B:B,0 ))</f>
        <v>OUI</v>
      </c>
      <c r="E26" s="37"/>
      <c r="F26" s="64" t="s">
        <v>32</v>
      </c>
      <c r="G26" s="58"/>
      <c r="H26" s="59" t="str">
        <f>INDEX(CHECK_VEHICULE!AQ:AQ, MATCH(DATE_HEURE, CHECK_VEHICULE!B:B,0 ))</f>
        <v>OUI</v>
      </c>
      <c r="I26" s="1"/>
    </row>
    <row r="27" spans="1:9" ht="21.95" customHeight="1" thickBot="1" x14ac:dyDescent="0.35">
      <c r="A27" s="39"/>
      <c r="B27" s="60" t="s">
        <v>33</v>
      </c>
      <c r="C27" s="61"/>
      <c r="D27" s="62" t="str">
        <f>INDEX(CHECK_VEHICULE!X:X, MATCH(DATE_HEURE, CHECK_VEHICULE!B:B,0 ))</f>
        <v>OUI</v>
      </c>
      <c r="E27" s="39"/>
      <c r="F27" s="65"/>
      <c r="G27" s="61"/>
      <c r="H27" s="62"/>
    </row>
    <row r="28" spans="1:9" ht="21.95" customHeight="1" x14ac:dyDescent="0.3">
      <c r="A28" s="74" t="s">
        <v>34</v>
      </c>
      <c r="B28" s="54" t="s">
        <v>35</v>
      </c>
      <c r="C28" s="55"/>
      <c r="D28" s="56" t="str">
        <f>INDEX(CHECK_VEHICULE!Y:Y, MATCH(DATE_HEURE, CHECK_VEHICULE!B:B,0 ))</f>
        <v>OUI</v>
      </c>
      <c r="E28" s="74" t="s">
        <v>36</v>
      </c>
      <c r="F28" s="63" t="s">
        <v>37</v>
      </c>
      <c r="G28" s="55"/>
      <c r="H28" s="56" t="str">
        <f>INDEX(CHECK_VEHICULE!AR:AR, MATCH(DATE_HEURE, CHECK_VEHICULE!B:B,0 ))</f>
        <v>OUI</v>
      </c>
      <c r="I28" s="1"/>
    </row>
    <row r="29" spans="1:9" ht="21.95" customHeight="1" x14ac:dyDescent="0.3">
      <c r="A29" s="37"/>
      <c r="B29" s="57" t="s">
        <v>38</v>
      </c>
      <c r="C29" s="58"/>
      <c r="D29" s="59" t="str">
        <f>INDEX(CHECK_VEHICULE!Z:Z, MATCH(DATE_HEURE, CHECK_VEHICULE!B:B,0 ))</f>
        <v>OUI</v>
      </c>
      <c r="E29" s="37"/>
      <c r="F29" s="64" t="s">
        <v>39</v>
      </c>
      <c r="G29" s="58"/>
      <c r="H29" s="59" t="str">
        <f>INDEX(CHECK_VEHICULE!AS:AS, MATCH(DATE_HEURE, CHECK_VEHICULE!B:B,0 ))</f>
        <v>OUI</v>
      </c>
      <c r="I29" s="1"/>
    </row>
    <row r="30" spans="1:9" ht="21.95" customHeight="1" x14ac:dyDescent="0.3">
      <c r="A30" s="37"/>
      <c r="B30" s="57" t="s">
        <v>40</v>
      </c>
      <c r="C30" s="58"/>
      <c r="D30" s="59" t="str">
        <f>INDEX(CHECK_VEHICULE!AA:AA, MATCH(DATE_HEURE, CHECK_VEHICULE!B:B,0 ))</f>
        <v>OUI</v>
      </c>
      <c r="E30" s="37"/>
      <c r="F30" s="64" t="s">
        <v>41</v>
      </c>
      <c r="G30" s="58"/>
      <c r="H30" s="59" t="str">
        <f>INDEX(CHECK_VEHICULE!AT:AT, MATCH(DATE_HEURE, CHECK_VEHICULE!B:B,0 ))</f>
        <v>OUI</v>
      </c>
      <c r="I30" s="1"/>
    </row>
    <row r="31" spans="1:9" ht="21.95" customHeight="1" x14ac:dyDescent="0.3">
      <c r="A31" s="37"/>
      <c r="B31" s="57" t="s">
        <v>42</v>
      </c>
      <c r="C31" s="58"/>
      <c r="D31" s="59" t="str">
        <f>INDEX(CHECK_VEHICULE!AB:AB, MATCH(DATE_HEURE, CHECK_VEHICULE!B:B,0 ))</f>
        <v>HS</v>
      </c>
      <c r="E31" s="37"/>
      <c r="F31" s="64" t="s">
        <v>43</v>
      </c>
      <c r="G31" s="58"/>
      <c r="H31" s="59" t="str">
        <f>INDEX(CHECK_VEHICULE!AU:AU, MATCH(DATE_HEURE, CHECK_VEHICULE!B:B,0 ))</f>
        <v>OUI</v>
      </c>
      <c r="I31" s="1"/>
    </row>
    <row r="32" spans="1:9" ht="21.95" customHeight="1" x14ac:dyDescent="0.3">
      <c r="A32" s="37"/>
      <c r="B32" s="57" t="s">
        <v>44</v>
      </c>
      <c r="C32" s="58"/>
      <c r="D32" s="59" t="str">
        <f>INDEX(CHECK_VEHICULE!AC:AC, MATCH(DATE_HEURE, CHECK_VEHICULE!B:B,0 ))</f>
        <v>OUI</v>
      </c>
      <c r="E32" s="37"/>
      <c r="F32" s="64" t="s">
        <v>45</v>
      </c>
      <c r="G32" s="58"/>
      <c r="H32" s="59" t="str">
        <f>INDEX(CHECK_VEHICULE!AV:AV, MATCH(DATE_HEURE, CHECK_VEHICULE!B:B,0 ))</f>
        <v>OUI</v>
      </c>
      <c r="I32" s="1"/>
    </row>
    <row r="33" spans="1:27" ht="21.95" customHeight="1" thickBot="1" x14ac:dyDescent="0.35">
      <c r="A33" s="37"/>
      <c r="B33" s="57" t="s">
        <v>46</v>
      </c>
      <c r="C33" s="58"/>
      <c r="D33" s="59" t="str">
        <f>INDEX(CHECK_VEHICULE!AD:AD, MATCH(DATE_HEURE, CHECK_VEHICULE!B:B,0 ))</f>
        <v>OUI</v>
      </c>
      <c r="E33" s="39"/>
      <c r="F33" s="65" t="s">
        <v>47</v>
      </c>
      <c r="G33" s="61"/>
      <c r="H33" s="62" t="str">
        <f>INDEX(CHECK_VEHICULE!AW:AW, MATCH(DATE_HEURE, CHECK_VEHICULE!B:B,0 ))</f>
        <v>OUI</v>
      </c>
      <c r="I33" s="1"/>
    </row>
    <row r="34" spans="1:27" ht="21.95" customHeight="1" x14ac:dyDescent="0.3">
      <c r="A34" s="37"/>
      <c r="B34" s="57" t="s">
        <v>48</v>
      </c>
      <c r="C34" s="58"/>
      <c r="D34" s="59" t="str">
        <f>INDEX(CHECK_VEHICULE!AE:AE, MATCH(DATE_HEURE, CHECK_VEHICULE!B:B,0 ))</f>
        <v>OUI</v>
      </c>
      <c r="E34" s="75" t="s">
        <v>49</v>
      </c>
      <c r="F34" s="63" t="s">
        <v>50</v>
      </c>
      <c r="G34" s="55"/>
      <c r="H34" s="56" t="str">
        <f>INDEX(CHECK_VEHICULE!AX:AX, MATCH(DATE_HEURE, CHECK_VEHICULE!B:B,0 ))</f>
        <v>OUI</v>
      </c>
      <c r="I34" s="1"/>
    </row>
    <row r="35" spans="1:27" ht="21.95" customHeight="1" x14ac:dyDescent="0.3">
      <c r="A35" s="37"/>
      <c r="B35" s="57" t="s">
        <v>51</v>
      </c>
      <c r="C35" s="58"/>
      <c r="D35" s="59" t="str">
        <f>INDEX(CHECK_VEHICULE!AF:AF, MATCH(DATE_HEURE, CHECK_VEHICULE!B:B,0 ))</f>
        <v>OUI</v>
      </c>
      <c r="E35" s="37"/>
      <c r="F35" s="64" t="s">
        <v>52</v>
      </c>
      <c r="G35" s="58"/>
      <c r="H35" s="59" t="str">
        <f>INDEX(CHECK_VEHICULE!AY:AY, MATCH(DATE_HEURE, CHECK_VEHICULE!B:B,0 ))</f>
        <v>OUI</v>
      </c>
      <c r="I35" s="1"/>
    </row>
    <row r="36" spans="1:27" ht="21.95" customHeight="1" x14ac:dyDescent="0.3">
      <c r="A36" s="37"/>
      <c r="B36" s="57" t="s">
        <v>53</v>
      </c>
      <c r="C36" s="58"/>
      <c r="D36" s="59" t="str">
        <f>INDEX(CHECK_VEHICULE!AG:AG, MATCH(DATE_HEURE, CHECK_VEHICULE!B:B,0 ))</f>
        <v>OUI</v>
      </c>
      <c r="E36" s="37"/>
      <c r="F36" s="64" t="s">
        <v>54</v>
      </c>
      <c r="G36" s="58"/>
      <c r="H36" s="59" t="str">
        <f>INDEX(CHECK_VEHICULE!AZ:AZ, MATCH(DATE_HEURE, CHECK_VEHICULE!B:B,0 ))</f>
        <v>OUI</v>
      </c>
      <c r="I36" s="1"/>
    </row>
    <row r="37" spans="1:27" ht="21.95" customHeight="1" x14ac:dyDescent="0.3">
      <c r="A37" s="37"/>
      <c r="B37" s="57" t="s">
        <v>55</v>
      </c>
      <c r="C37" s="58"/>
      <c r="D37" s="59" t="str">
        <f>INDEX(CHECK_VEHICULE!AH:AH, MATCH(DATE_HEURE, CHECK_VEHICULE!B:B,0 ))</f>
        <v>OUI</v>
      </c>
      <c r="E37" s="37"/>
      <c r="F37" s="64" t="s">
        <v>56</v>
      </c>
      <c r="G37" s="58"/>
      <c r="H37" s="59" t="str">
        <f>INDEX(CHECK_VEHICULE!BA:BA, MATCH(DATE_HEURE, CHECK_VEHICULE!B:B,0 ))</f>
        <v>OUI</v>
      </c>
      <c r="I37" s="1"/>
    </row>
    <row r="38" spans="1:27" ht="21.95" customHeight="1" thickBot="1" x14ac:dyDescent="0.35">
      <c r="A38" s="39"/>
      <c r="B38" s="60" t="s">
        <v>57</v>
      </c>
      <c r="C38" s="66"/>
      <c r="D38" s="62" t="str">
        <f>INDEX(CHECK_VEHICULE!AI:AI, MATCH(DATE_HEURE, CHECK_VEHICULE!B:B,0 ))</f>
        <v>OUI</v>
      </c>
      <c r="E38" s="39"/>
      <c r="F38" s="65" t="s">
        <v>58</v>
      </c>
      <c r="G38" s="61"/>
      <c r="H38" s="62" t="str">
        <f>INDEX(CHECK_VEHICULE!BB:BB, MATCH(DATE_HEURE, CHECK_VEHICULE!B:B,0 ))</f>
        <v>OUI</v>
      </c>
      <c r="I38" s="1"/>
    </row>
    <row r="39" spans="1:27" ht="21" thickBot="1" x14ac:dyDescent="0.35">
      <c r="A39" s="30"/>
      <c r="B39" s="30"/>
      <c r="C39" s="30"/>
      <c r="D39" s="40"/>
      <c r="E39" s="30"/>
      <c r="F39" s="30"/>
      <c r="G39" s="30"/>
      <c r="H39" s="30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</row>
    <row r="40" spans="1:27" ht="21" thickBot="1" x14ac:dyDescent="0.35">
      <c r="A40" s="52" t="s">
        <v>1455</v>
      </c>
      <c r="B40" s="38"/>
      <c r="C40" s="38"/>
      <c r="D40" s="38"/>
      <c r="E40" s="38"/>
      <c r="F40" s="38"/>
      <c r="G40" s="38"/>
      <c r="H40" s="38"/>
      <c r="I40" s="1"/>
      <c r="J40" t="s">
        <v>2039</v>
      </c>
      <c r="O40" s="4" t="str">
        <f>INDEX(CHECK_VEHICULE!$BC:$BC, MATCH(DATE_HEURE, CHECK_VEHICULE!$B:$B,0 ))</f>
        <v xml:space="preserve">- temoin air bag : contacteur tournant </v>
      </c>
    </row>
    <row r="41" spans="1:27" ht="21" thickBot="1" x14ac:dyDescent="0.35">
      <c r="A41" s="100" t="str">
        <f t="shared" ref="A41" si="0">IF(O40=0,"",O40)</f>
        <v xml:space="preserve">- temoin air bag : contacteur tournant </v>
      </c>
      <c r="B41" s="101"/>
      <c r="C41" s="101"/>
      <c r="D41" s="101"/>
      <c r="E41" s="101"/>
      <c r="F41" s="101"/>
      <c r="G41" s="101"/>
      <c r="H41" s="102"/>
      <c r="I41" s="1"/>
      <c r="O41" s="4" t="str">
        <f>INDEX(CHECK_VEHICULE!$BD:$BD, MATCH(DATE_HEURE, CHECK_VEHICULE!$B:$B,0 ))</f>
        <v xml:space="preserve">- pneu avant à surveiller </v>
      </c>
    </row>
    <row r="42" spans="1:27" ht="21" thickBot="1" x14ac:dyDescent="0.35">
      <c r="A42" s="100" t="str">
        <f t="shared" ref="A42:A50" si="1">IF(O41=0,"",O41)</f>
        <v xml:space="preserve">- pneu avant à surveiller </v>
      </c>
      <c r="B42" s="101"/>
      <c r="C42" s="101"/>
      <c r="D42" s="101"/>
      <c r="E42" s="101"/>
      <c r="F42" s="101"/>
      <c r="G42" s="101"/>
      <c r="H42" s="102"/>
      <c r="I42" s="1"/>
      <c r="O42" s="4" t="str">
        <f>INDEX(CHECK_VEHICULE!$BE:$BE, MATCH(DATE_HEURE, CHECK_VEHICULE!$B:$B,0 ))</f>
        <v xml:space="preserve">- plaquettes avant 4/10 </v>
      </c>
    </row>
    <row r="43" spans="1:27" ht="21" thickBot="1" x14ac:dyDescent="0.35">
      <c r="A43" s="100" t="str">
        <f>IF(O42=0,"",O42)</f>
        <v xml:space="preserve">- plaquettes avant 4/10 </v>
      </c>
      <c r="B43" s="101"/>
      <c r="C43" s="101"/>
      <c r="D43" s="101"/>
      <c r="E43" s="101"/>
      <c r="F43" s="101"/>
      <c r="G43" s="101"/>
      <c r="H43" s="102"/>
      <c r="I43" s="1"/>
      <c r="O43" s="4" t="str">
        <f>INDEX(CHECK_VEHICULE!$BF:$BF, MATCH(DATE_HEURE, CHECK_VEHICULE!$B:$B,0 ))</f>
        <v xml:space="preserve">- klaxon fonctionne pas : contacteur tournant </v>
      </c>
    </row>
    <row r="44" spans="1:27" ht="21" thickBot="1" x14ac:dyDescent="0.35">
      <c r="A44" s="100" t="str">
        <f t="shared" si="1"/>
        <v xml:space="preserve">- klaxon fonctionne pas : contacteur tournant </v>
      </c>
      <c r="B44" s="101"/>
      <c r="C44" s="101"/>
      <c r="D44" s="101"/>
      <c r="E44" s="101"/>
      <c r="F44" s="101"/>
      <c r="G44" s="101"/>
      <c r="H44" s="102"/>
      <c r="I44" s="1"/>
      <c r="O44" s="4">
        <f>INDEX(CHECK_VEHICULE!$BG:$BG, MATCH(DATE_HEURE, CHECK_VEHICULE!$B:$B,0 ))</f>
        <v>0</v>
      </c>
    </row>
    <row r="45" spans="1:27" ht="21" thickBot="1" x14ac:dyDescent="0.35">
      <c r="A45" s="100" t="str">
        <f t="shared" si="1"/>
        <v/>
      </c>
      <c r="B45" s="101"/>
      <c r="C45" s="101"/>
      <c r="D45" s="101"/>
      <c r="E45" s="101"/>
      <c r="F45" s="101"/>
      <c r="G45" s="101"/>
      <c r="H45" s="102"/>
      <c r="O45" s="4">
        <f>INDEX(CHECK_VEHICULE!BH:BH, MATCH(DATE_HEURE, CHECK_VEHICULE!B:B,0 ))</f>
        <v>0</v>
      </c>
    </row>
    <row r="46" spans="1:27" ht="21" thickBot="1" x14ac:dyDescent="0.35">
      <c r="A46" s="100" t="str">
        <f t="shared" si="1"/>
        <v/>
      </c>
      <c r="B46" s="101"/>
      <c r="C46" s="101"/>
      <c r="D46" s="101"/>
      <c r="E46" s="101"/>
      <c r="F46" s="101"/>
      <c r="G46" s="101"/>
      <c r="H46" s="102"/>
      <c r="O46" s="4">
        <f>INDEX(CHECK_VEHICULE!$BI:$BI, MATCH(DATE_HEURE, CHECK_VEHICULE!$B:$B,0 ))</f>
        <v>0</v>
      </c>
    </row>
    <row r="47" spans="1:27" ht="21" thickBot="1" x14ac:dyDescent="0.35">
      <c r="A47" s="100" t="str">
        <f t="shared" si="1"/>
        <v/>
      </c>
      <c r="B47" s="101"/>
      <c r="C47" s="101"/>
      <c r="D47" s="101"/>
      <c r="E47" s="101"/>
      <c r="F47" s="101"/>
      <c r="G47" s="101"/>
      <c r="H47" s="102"/>
      <c r="O47" s="4">
        <f>INDEX(CHECK_VEHICULE!$BJ:$BJ, MATCH(DATE_HEURE, CHECK_VEHICULE!$B:$B,0 ))</f>
        <v>0</v>
      </c>
    </row>
    <row r="48" spans="1:27" ht="21" thickBot="1" x14ac:dyDescent="0.35">
      <c r="A48" s="100" t="str">
        <f t="shared" si="1"/>
        <v/>
      </c>
      <c r="B48" s="101"/>
      <c r="C48" s="101"/>
      <c r="D48" s="101"/>
      <c r="E48" s="101"/>
      <c r="F48" s="101"/>
      <c r="G48" s="101"/>
      <c r="H48" s="102"/>
      <c r="O48" s="4">
        <f>INDEX(CHECK_VEHICULE!$BK:$BK, MATCH(DATE_HEURE, CHECK_VEHICULE!$B:$B,0 ))</f>
        <v>0</v>
      </c>
    </row>
    <row r="49" spans="1:16" ht="21" thickBot="1" x14ac:dyDescent="0.35">
      <c r="A49" s="100" t="str">
        <f t="shared" si="1"/>
        <v/>
      </c>
      <c r="B49" s="101"/>
      <c r="C49" s="101"/>
      <c r="D49" s="101"/>
      <c r="E49" s="101"/>
      <c r="F49" s="101"/>
      <c r="G49" s="101"/>
      <c r="H49" s="102"/>
      <c r="O49" s="4">
        <f>INDEX(CHECK_VEHICULE!$BL:$BL, MATCH(DATE_HEURE, CHECK_VEHICULE!$B:$B,0 ))</f>
        <v>0</v>
      </c>
    </row>
    <row r="50" spans="1:16" ht="21" thickBot="1" x14ac:dyDescent="0.35">
      <c r="A50" s="97" t="str">
        <f t="shared" si="1"/>
        <v/>
      </c>
      <c r="B50" s="98"/>
      <c r="C50" s="98"/>
      <c r="D50" s="98"/>
      <c r="E50" s="98"/>
      <c r="F50" s="98"/>
      <c r="G50" s="98"/>
      <c r="H50" s="99"/>
    </row>
    <row r="51" spans="1:16" ht="21.75" thickTop="1" thickBot="1" x14ac:dyDescent="0.35">
      <c r="A51" s="51"/>
      <c r="B51" s="51"/>
      <c r="C51" s="51"/>
      <c r="D51" s="51"/>
      <c r="E51" s="51"/>
      <c r="F51" s="51"/>
      <c r="G51" s="51"/>
      <c r="H51" s="51"/>
    </row>
    <row r="52" spans="1:16" ht="21.75" customHeight="1" thickBot="1" x14ac:dyDescent="0.35">
      <c r="A52" s="43" t="s">
        <v>885</v>
      </c>
      <c r="B52" s="44" t="str">
        <f>VLOOKUP(C9,VEHICULES!$A:$L,7,FALSE)</f>
        <v>5W30 XTS</v>
      </c>
      <c r="C52" s="127" t="str">
        <f>VLOOKUP(C9,VEHICULES!$A:$L,9,FALSE)</f>
        <v>50 NM</v>
      </c>
      <c r="D52" s="127"/>
      <c r="E52" s="95" t="str">
        <f>IF(O52=TRUE,P52,"")</f>
        <v>FILTRE A HUILE</v>
      </c>
      <c r="F52" s="95"/>
      <c r="G52" s="95" t="str">
        <f>IF(O53=TRUE,P53,"")</f>
        <v/>
      </c>
      <c r="H52" s="96"/>
      <c r="O52" s="2" t="b">
        <f>INDEX(CHECK_VEHICULE!$E:$E, MATCH(DATE_HEURE, CHECK_VEHICULE!$B:$B,0 ))</f>
        <v>1</v>
      </c>
      <c r="P52" s="21" t="s">
        <v>860</v>
      </c>
    </row>
    <row r="53" spans="1:16" ht="21" thickBot="1" x14ac:dyDescent="0.35">
      <c r="A53" s="47"/>
      <c r="B53" s="48" t="str">
        <f>VLOOKUP(C9,VEHICULES!$A:$L,8,FALSE)</f>
        <v>4.7 L B4</v>
      </c>
      <c r="C53" s="49"/>
      <c r="D53" s="50"/>
      <c r="E53" s="93" t="str">
        <f>IF(O55=TRUE,P55,"")</f>
        <v/>
      </c>
      <c r="F53" s="93"/>
      <c r="G53" s="93" t="str">
        <f>IF(O56=TRUE,P56,"")</f>
        <v/>
      </c>
      <c r="H53" s="94"/>
      <c r="O53" s="19" t="b">
        <f>INDEX(CHECK_VEHICULE!$F:$F, MATCH(DATE_HEURE, CHECK_VEHICULE!$B:$B,0 ))</f>
        <v>0</v>
      </c>
      <c r="P53" s="21" t="s">
        <v>861</v>
      </c>
    </row>
    <row r="54" spans="1:16" ht="21" thickBot="1" x14ac:dyDescent="0.35">
      <c r="A54" s="53"/>
      <c r="B54" s="45"/>
      <c r="C54" s="46"/>
      <c r="D54" s="30"/>
      <c r="E54" s="30"/>
      <c r="F54" s="30"/>
      <c r="G54" s="30"/>
      <c r="H54" s="30"/>
      <c r="O54" s="19"/>
      <c r="P54" s="21"/>
    </row>
    <row r="55" spans="1:16" ht="21" thickBot="1" x14ac:dyDescent="0.35">
      <c r="A55" s="126" t="s">
        <v>874</v>
      </c>
      <c r="B55" s="126"/>
      <c r="C55" s="46" t="str">
        <f>VLOOKUP(C9,VEHICULES!$A:$L,10,FALSE)</f>
        <v>19.8 OU 21.8 MM</v>
      </c>
      <c r="O55" s="19" t="b">
        <f>INDEX(CHECK_VEHICULE!$G:$G, MATCH(DATE_HEURE, CHECK_VEHICULE!$B:$B,0 ))</f>
        <v>0</v>
      </c>
      <c r="P55" s="21" t="s">
        <v>973</v>
      </c>
    </row>
    <row r="56" spans="1:16" ht="21" thickBot="1" x14ac:dyDescent="0.35">
      <c r="A56" s="126" t="s">
        <v>875</v>
      </c>
      <c r="B56" s="126"/>
      <c r="C56" s="128" t="str">
        <f>VLOOKUP(C9,VEHICULES!$A:$L,11,FALSE)</f>
        <v>TAMBOURS</v>
      </c>
      <c r="D56" s="128"/>
      <c r="H56" s="41"/>
      <c r="O56" s="19" t="b">
        <f>INDEX(CHECK_VEHICULE!$H:$H, MATCH(DATE_HEURE, CHECK_VEHICULE!$B:$B,0 ))</f>
        <v>0</v>
      </c>
      <c r="P56" s="21" t="s">
        <v>974</v>
      </c>
    </row>
    <row r="57" spans="1:16" ht="20.25" x14ac:dyDescent="0.3">
      <c r="A57" s="30"/>
      <c r="B57" s="30"/>
      <c r="C57" s="30"/>
      <c r="D57" s="30"/>
    </row>
    <row r="58" spans="1:16" ht="20.25" x14ac:dyDescent="0.3">
      <c r="A58" s="42" t="s">
        <v>866</v>
      </c>
      <c r="B58" s="38"/>
      <c r="C58" s="30"/>
      <c r="D58" s="30"/>
      <c r="F58" s="68" t="s">
        <v>59</v>
      </c>
      <c r="G58" s="67"/>
      <c r="H58" s="38"/>
    </row>
    <row r="59" spans="1:16" ht="20.25" x14ac:dyDescent="0.3">
      <c r="A59" s="130"/>
      <c r="B59" s="130"/>
      <c r="C59" s="130"/>
      <c r="D59" s="130"/>
      <c r="F59" s="68" t="s">
        <v>60</v>
      </c>
      <c r="G59" s="67"/>
      <c r="H59" s="38"/>
    </row>
    <row r="60" spans="1:16" ht="20.25" x14ac:dyDescent="0.3">
      <c r="A60" s="130"/>
      <c r="B60" s="130"/>
      <c r="C60" s="130"/>
      <c r="D60" s="130"/>
      <c r="F60" s="68" t="s">
        <v>61</v>
      </c>
      <c r="G60" s="67"/>
      <c r="H60" s="38"/>
    </row>
    <row r="61" spans="1:16" ht="20.25" x14ac:dyDescent="0.3">
      <c r="A61" s="130"/>
      <c r="B61" s="130"/>
      <c r="C61" s="130"/>
      <c r="D61" s="130"/>
      <c r="F61" s="68" t="s">
        <v>62</v>
      </c>
      <c r="G61" s="67"/>
      <c r="H61" s="38"/>
    </row>
    <row r="62" spans="1:16" ht="20.25" x14ac:dyDescent="0.3">
      <c r="A62" s="130"/>
      <c r="B62" s="130"/>
      <c r="C62" s="130"/>
      <c r="D62" s="130"/>
      <c r="F62" s="68" t="s">
        <v>63</v>
      </c>
      <c r="G62" s="67"/>
      <c r="H62" s="38"/>
    </row>
    <row r="63" spans="1:16" ht="20.25" x14ac:dyDescent="0.3">
      <c r="A63" s="130"/>
      <c r="B63" s="130"/>
      <c r="C63" s="130"/>
      <c r="D63" s="130"/>
      <c r="F63" s="68" t="s">
        <v>64</v>
      </c>
      <c r="G63" s="67"/>
      <c r="H63" s="38"/>
    </row>
    <row r="64" spans="1:16" ht="15.75" customHeight="1" x14ac:dyDescent="0.3">
      <c r="A64" s="129"/>
      <c r="B64" s="129"/>
      <c r="C64" s="129"/>
      <c r="D64" s="129"/>
      <c r="F64" s="68" t="s">
        <v>65</v>
      </c>
      <c r="G64" s="67"/>
      <c r="H64" s="38"/>
    </row>
  </sheetData>
  <sheetProtection selectLockedCells="1"/>
  <mergeCells count="40">
    <mergeCell ref="A55:B55"/>
    <mergeCell ref="A56:B56"/>
    <mergeCell ref="C52:D52"/>
    <mergeCell ref="C56:D56"/>
    <mergeCell ref="A64:D64"/>
    <mergeCell ref="A63:D63"/>
    <mergeCell ref="A62:D62"/>
    <mergeCell ref="A61:D61"/>
    <mergeCell ref="A60:D60"/>
    <mergeCell ref="A59:D59"/>
    <mergeCell ref="G3:H3"/>
    <mergeCell ref="A45:H45"/>
    <mergeCell ref="A44:H44"/>
    <mergeCell ref="A43:H43"/>
    <mergeCell ref="A42:H42"/>
    <mergeCell ref="A41:H41"/>
    <mergeCell ref="G9:H9"/>
    <mergeCell ref="A13:B13"/>
    <mergeCell ref="C3:D3"/>
    <mergeCell ref="C6:D6"/>
    <mergeCell ref="C7:D7"/>
    <mergeCell ref="C9:D9"/>
    <mergeCell ref="C5:D5"/>
    <mergeCell ref="C4:D4"/>
    <mergeCell ref="C10:D10"/>
    <mergeCell ref="A49:H49"/>
    <mergeCell ref="A48:H48"/>
    <mergeCell ref="A47:H47"/>
    <mergeCell ref="A46:H46"/>
    <mergeCell ref="G5:H5"/>
    <mergeCell ref="A12:B12"/>
    <mergeCell ref="C11:D11"/>
    <mergeCell ref="C12:D12"/>
    <mergeCell ref="C13:D13"/>
    <mergeCell ref="G10:H10"/>
    <mergeCell ref="G53:H53"/>
    <mergeCell ref="G52:H52"/>
    <mergeCell ref="E53:F53"/>
    <mergeCell ref="E52:F52"/>
    <mergeCell ref="A50:H50"/>
  </mergeCells>
  <conditionalFormatting sqref="G19:G38 C19:C38 C40">
    <cfRule type="containsText" dxfId="98" priority="15" operator="containsText" text="BON">
      <formula>NOT(ISERROR(SEARCH(("BON"),(C19))))</formula>
    </cfRule>
  </conditionalFormatting>
  <conditionalFormatting sqref="H15">
    <cfRule type="expression" dxfId="97" priority="12">
      <formula>I15="max"</formula>
    </cfRule>
  </conditionalFormatting>
  <conditionalFormatting sqref="H16">
    <cfRule type="expression" dxfId="96" priority="13">
      <formula>I16="moyen"</formula>
    </cfRule>
  </conditionalFormatting>
  <conditionalFormatting sqref="H17">
    <cfRule type="expression" dxfId="95" priority="14">
      <formula>I17="vide"</formula>
    </cfRule>
  </conditionalFormatting>
  <conditionalFormatting sqref="D40 D19:D38 H19:H38">
    <cfRule type="containsText" dxfId="94" priority="16" operator="containsText" text="MAUVAIS">
      <formula>NOT(ISERROR(SEARCH(("MAUVAIS"),(D19))))</formula>
    </cfRule>
  </conditionalFormatting>
  <conditionalFormatting sqref="C19">
    <cfRule type="containsText" dxfId="93" priority="5" operator="containsText" text="oui">
      <formula>NOT(ISERROR(SEARCH("oui",C19)))</formula>
    </cfRule>
  </conditionalFormatting>
  <conditionalFormatting sqref="E15">
    <cfRule type="expression" dxfId="92" priority="20">
      <formula>#REF!="max"</formula>
    </cfRule>
  </conditionalFormatting>
  <conditionalFormatting sqref="E16 B16">
    <cfRule type="expression" dxfId="91" priority="21">
      <formula>#REF!="moyen"</formula>
    </cfRule>
  </conditionalFormatting>
  <conditionalFormatting sqref="E17">
    <cfRule type="expression" dxfId="90" priority="22">
      <formula>#REF!="vide"</formula>
    </cfRule>
  </conditionalFormatting>
  <conditionalFormatting sqref="B15">
    <cfRule type="expression" dxfId="89" priority="23">
      <formula>#REF!="max"</formula>
    </cfRule>
  </conditionalFormatting>
  <conditionalFormatting sqref="B17">
    <cfRule type="expression" dxfId="88" priority="25">
      <formula>#REF!="VIDE"</formula>
    </cfRule>
  </conditionalFormatting>
  <conditionalFormatting sqref="D19:D38 H19:H38">
    <cfRule type="cellIs" dxfId="87" priority="1" operator="equal">
      <formula>"N/C"</formula>
    </cfRule>
    <cfRule type="cellIs" dxfId="86" priority="2" operator="equal">
      <formula>"hs"</formula>
    </cfRule>
    <cfRule type="cellIs" dxfId="85" priority="3" operator="equal">
      <formula>"oui"</formula>
    </cfRule>
  </conditionalFormatting>
  <dataValidations disablePrompts="1" count="2">
    <dataValidation type="list" allowBlank="1" showInputMessage="1" showErrorMessage="1" sqref="C9" xr:uid="{7148E5E6-3EBF-4497-9E31-39EB40455787}">
      <formula1>immatunique</formula1>
    </dataValidation>
    <dataValidation type="list" allowBlank="1" showInputMessage="1" showErrorMessage="1" sqref="G3" xr:uid="{7ACB98E7-C5C4-48D5-95DC-D3E62ED169DB}">
      <formula1>DATEHEURE</formula1>
    </dataValidation>
  </dataValidations>
  <printOptions horizontalCentered="1"/>
  <pageMargins left="0.23622047244094491" right="0.23622047244094491" top="0.39370078740157483" bottom="0.39370078740157483" header="0.31496062992125984" footer="0.31496062992125984"/>
  <pageSetup paperSize="9" scale="59" pageOrder="overThenDown" orientation="portrait" cellComments="atEnd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locked="0" defaultSize="0" autoFill="0" autoLine="0" autoPict="0" altText="">
                <anchor moveWithCells="1">
                  <from>
                    <xdr:col>7</xdr:col>
                    <xdr:colOff>342900</xdr:colOff>
                    <xdr:row>56</xdr:row>
                    <xdr:rowOff>209550</xdr:rowOff>
                  </from>
                  <to>
                    <xdr:col>7</xdr:col>
                    <xdr:colOff>590550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locked="0" defaultSize="0" autoFill="0" autoLine="0" autoPict="0" altText="">
                <anchor moveWithCells="1">
                  <from>
                    <xdr:col>7</xdr:col>
                    <xdr:colOff>342900</xdr:colOff>
                    <xdr:row>57</xdr:row>
                    <xdr:rowOff>209550</xdr:rowOff>
                  </from>
                  <to>
                    <xdr:col>7</xdr:col>
                    <xdr:colOff>590550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locked="0" defaultSize="0" autoFill="0" autoLine="0" autoPict="0" altText="">
                <anchor moveWithCells="1">
                  <from>
                    <xdr:col>7</xdr:col>
                    <xdr:colOff>342900</xdr:colOff>
                    <xdr:row>58</xdr:row>
                    <xdr:rowOff>209550</xdr:rowOff>
                  </from>
                  <to>
                    <xdr:col>7</xdr:col>
                    <xdr:colOff>590550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locked="0" defaultSize="0" autoFill="0" autoLine="0" autoPict="0" altText="">
                <anchor moveWithCells="1">
                  <from>
                    <xdr:col>7</xdr:col>
                    <xdr:colOff>342900</xdr:colOff>
                    <xdr:row>59</xdr:row>
                    <xdr:rowOff>209550</xdr:rowOff>
                  </from>
                  <to>
                    <xdr:col>7</xdr:col>
                    <xdr:colOff>590550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locked="0" defaultSize="0" autoFill="0" autoLine="0" autoPict="0" altText="">
                <anchor moveWithCells="1">
                  <from>
                    <xdr:col>7</xdr:col>
                    <xdr:colOff>352425</xdr:colOff>
                    <xdr:row>60</xdr:row>
                    <xdr:rowOff>209550</xdr:rowOff>
                  </from>
                  <to>
                    <xdr:col>7</xdr:col>
                    <xdr:colOff>600075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locked="0" defaultSize="0" autoFill="0" autoLine="0" autoPict="0" altText="">
                <anchor moveWithCells="1">
                  <from>
                    <xdr:col>7</xdr:col>
                    <xdr:colOff>361950</xdr:colOff>
                    <xdr:row>61</xdr:row>
                    <xdr:rowOff>219075</xdr:rowOff>
                  </from>
                  <to>
                    <xdr:col>7</xdr:col>
                    <xdr:colOff>609600</xdr:colOff>
                    <xdr:row>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locked="0" defaultSize="0" autoFill="0" autoLine="0" autoPict="0" altText="">
                <anchor moveWithCells="1">
                  <from>
                    <xdr:col>7</xdr:col>
                    <xdr:colOff>361950</xdr:colOff>
                    <xdr:row>62</xdr:row>
                    <xdr:rowOff>219075</xdr:rowOff>
                  </from>
                  <to>
                    <xdr:col>7</xdr:col>
                    <xdr:colOff>609600</xdr:colOff>
                    <xdr:row>64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F36"/>
  <sheetViews>
    <sheetView showGridLines="0" topLeftCell="A2" workbookViewId="0">
      <selection activeCell="A18" sqref="A18"/>
    </sheetView>
  </sheetViews>
  <sheetFormatPr baseColWidth="10" defaultColWidth="12.5703125" defaultRowHeight="15.75" customHeight="1" x14ac:dyDescent="0.2"/>
  <cols>
    <col min="2" max="2" width="8.7109375" customWidth="1"/>
    <col min="3" max="3" width="22.85546875" customWidth="1"/>
  </cols>
  <sheetData>
    <row r="1" spans="1:6" ht="45.75" x14ac:dyDescent="0.7">
      <c r="A1" s="135" t="s">
        <v>66</v>
      </c>
      <c r="B1" s="136"/>
      <c r="C1" s="136"/>
      <c r="D1" s="136"/>
      <c r="E1" s="136"/>
      <c r="F1" s="136"/>
    </row>
    <row r="2" spans="1:6" ht="12.75" x14ac:dyDescent="0.2">
      <c r="A2" s="5"/>
      <c r="B2" s="5"/>
      <c r="C2" s="5"/>
      <c r="D2" s="5"/>
      <c r="E2" s="5"/>
      <c r="F2" s="5"/>
    </row>
    <row r="3" spans="1:6" ht="12.75" x14ac:dyDescent="0.2">
      <c r="A3" s="5"/>
      <c r="B3" s="5"/>
      <c r="C3" s="5"/>
      <c r="D3" s="5"/>
      <c r="E3" s="5"/>
      <c r="F3" s="5"/>
    </row>
    <row r="4" spans="1:6" ht="15.75" customHeight="1" x14ac:dyDescent="0.3">
      <c r="A4" s="137" t="s">
        <v>67</v>
      </c>
      <c r="B4" s="136"/>
      <c r="C4" s="5" t="str">
        <f>IMPRESSION!C9</f>
        <v>EX547MD</v>
      </c>
      <c r="D4" s="6" t="s">
        <v>11</v>
      </c>
      <c r="E4" s="5"/>
      <c r="F4" s="7">
        <f>IMPRESSION!G3</f>
        <v>45462.398287037038</v>
      </c>
    </row>
    <row r="5" spans="1:6" ht="15.75" customHeight="1" x14ac:dyDescent="0.3">
      <c r="A5" s="6" t="s">
        <v>68</v>
      </c>
      <c r="B5" s="5"/>
      <c r="C5" s="5" t="str">
        <f>IMPRESSION!C10</f>
        <v>DACIA</v>
      </c>
      <c r="D5" s="137" t="s">
        <v>69</v>
      </c>
      <c r="E5" s="136"/>
      <c r="F5" s="5">
        <f>IMPRESSION!C12</f>
        <v>42233</v>
      </c>
    </row>
    <row r="6" spans="1:6" ht="15.75" customHeight="1" x14ac:dyDescent="0.3">
      <c r="A6" s="6" t="s">
        <v>70</v>
      </c>
      <c r="B6" s="5"/>
      <c r="C6" s="5" t="str">
        <f>IMPRESSION!C11</f>
        <v>DUSTER</v>
      </c>
      <c r="D6" s="5"/>
      <c r="E6" s="5"/>
      <c r="F6" s="5"/>
    </row>
    <row r="7" spans="1:6" ht="12.75" x14ac:dyDescent="0.2">
      <c r="A7" s="5"/>
      <c r="B7" s="5"/>
      <c r="C7" s="5"/>
      <c r="D7" s="5"/>
      <c r="E7" s="5"/>
      <c r="F7" s="5"/>
    </row>
    <row r="8" spans="1:6" ht="12.75" x14ac:dyDescent="0.2">
      <c r="A8" s="5"/>
      <c r="B8" s="5"/>
      <c r="C8" s="5"/>
      <c r="D8" s="5"/>
      <c r="E8" s="5"/>
      <c r="F8" s="5"/>
    </row>
    <row r="9" spans="1:6" ht="12.75" x14ac:dyDescent="0.2">
      <c r="A9" s="5"/>
      <c r="B9" s="5"/>
      <c r="C9" s="5"/>
      <c r="D9" s="5"/>
      <c r="E9" s="5"/>
      <c r="F9" s="5"/>
    </row>
    <row r="10" spans="1:6" ht="12.75" x14ac:dyDescent="0.2">
      <c r="A10" s="5"/>
      <c r="B10" s="5"/>
      <c r="C10" s="5"/>
      <c r="D10" s="5"/>
      <c r="E10" s="5"/>
      <c r="F10" s="5"/>
    </row>
    <row r="11" spans="1:6" ht="39" x14ac:dyDescent="0.6">
      <c r="A11" s="138" t="s">
        <v>71</v>
      </c>
      <c r="B11" s="136"/>
      <c r="C11" s="136"/>
      <c r="D11" s="136"/>
      <c r="E11" s="136"/>
      <c r="F11" s="136"/>
    </row>
    <row r="12" spans="1:6" ht="12.75" x14ac:dyDescent="0.2">
      <c r="A12" s="131"/>
      <c r="B12" s="129"/>
      <c r="C12" s="129"/>
      <c r="D12" s="129"/>
      <c r="E12" s="129"/>
      <c r="F12" s="129"/>
    </row>
    <row r="13" spans="1:6" ht="12.75" x14ac:dyDescent="0.2">
      <c r="A13" s="131"/>
      <c r="B13" s="129"/>
      <c r="C13" s="129"/>
      <c r="D13" s="129"/>
      <c r="E13" s="129"/>
      <c r="F13" s="129"/>
    </row>
    <row r="14" spans="1:6" ht="12.75" x14ac:dyDescent="0.2">
      <c r="A14" s="131" t="s">
        <v>2354</v>
      </c>
      <c r="B14" s="131"/>
      <c r="C14" s="131"/>
      <c r="D14" s="131"/>
      <c r="E14" s="131"/>
      <c r="F14" s="131"/>
    </row>
    <row r="15" spans="1:6" ht="12.75" x14ac:dyDescent="0.2">
      <c r="A15" s="131" t="s">
        <v>2826</v>
      </c>
      <c r="B15" s="129"/>
      <c r="C15" s="129"/>
      <c r="D15" s="129"/>
      <c r="E15" s="129"/>
      <c r="F15" s="129"/>
    </row>
    <row r="16" spans="1:6" ht="12.75" x14ac:dyDescent="0.2">
      <c r="A16" s="131" t="s">
        <v>2743</v>
      </c>
      <c r="B16" s="129"/>
      <c r="C16" s="129"/>
      <c r="D16" s="129"/>
      <c r="E16" s="129"/>
      <c r="F16" s="129"/>
    </row>
    <row r="17" spans="1:6" ht="12.75" x14ac:dyDescent="0.2">
      <c r="A17" t="s">
        <v>2825</v>
      </c>
    </row>
    <row r="18" spans="1:6" ht="12.75" x14ac:dyDescent="0.2">
      <c r="A18" s="81"/>
      <c r="B18" s="77"/>
      <c r="C18" s="77"/>
      <c r="D18" s="77"/>
      <c r="E18" s="77"/>
      <c r="F18" s="77"/>
    </row>
    <row r="19" spans="1:6" ht="12.75" x14ac:dyDescent="0.2">
      <c r="A19" s="134"/>
      <c r="B19" s="129"/>
      <c r="C19" s="129"/>
      <c r="D19" s="129"/>
      <c r="E19" s="129"/>
      <c r="F19" s="129"/>
    </row>
    <row r="20" spans="1:6" ht="12.75" x14ac:dyDescent="0.2">
      <c r="A20" s="134"/>
      <c r="B20" s="129"/>
      <c r="C20" s="129"/>
      <c r="D20" s="129"/>
      <c r="E20" s="129"/>
      <c r="F20" s="129"/>
    </row>
    <row r="21" spans="1:6" ht="12.75" x14ac:dyDescent="0.2">
      <c r="A21" s="131"/>
      <c r="B21" s="129"/>
      <c r="C21" s="129"/>
      <c r="D21" s="129"/>
      <c r="E21" s="129"/>
      <c r="F21" s="129"/>
    </row>
    <row r="22" spans="1:6" ht="12.75" x14ac:dyDescent="0.2">
      <c r="A22" s="131"/>
      <c r="B22" s="129"/>
      <c r="C22" s="129"/>
      <c r="D22" s="129"/>
      <c r="E22" s="129"/>
      <c r="F22" s="129"/>
    </row>
    <row r="23" spans="1:6" ht="12.75" x14ac:dyDescent="0.2">
      <c r="A23" s="24"/>
      <c r="B23" s="24"/>
      <c r="C23" s="24"/>
      <c r="D23" s="24"/>
      <c r="E23" s="24"/>
      <c r="F23" s="24"/>
    </row>
    <row r="24" spans="1:6" ht="12.75" x14ac:dyDescent="0.2">
      <c r="A24" s="24"/>
      <c r="B24" s="24"/>
      <c r="C24" s="24"/>
      <c r="D24" s="24"/>
      <c r="E24" s="24"/>
      <c r="F24" s="24"/>
    </row>
    <row r="25" spans="1:6" ht="12.75" x14ac:dyDescent="0.2">
      <c r="A25" s="24"/>
      <c r="B25" s="24"/>
      <c r="C25" s="24"/>
      <c r="D25" s="24"/>
      <c r="E25" s="24"/>
      <c r="F25" s="24"/>
    </row>
    <row r="26" spans="1:6" ht="12.75" x14ac:dyDescent="0.2">
      <c r="A26" s="24"/>
      <c r="B26" s="24"/>
      <c r="C26" s="24"/>
      <c r="D26" s="24"/>
      <c r="E26" s="24"/>
      <c r="F26" s="24"/>
    </row>
    <row r="27" spans="1:6" ht="12.75" x14ac:dyDescent="0.2">
      <c r="A27" s="131"/>
      <c r="B27" s="129"/>
      <c r="C27" s="129"/>
      <c r="D27" s="129"/>
      <c r="E27" s="129"/>
      <c r="F27" s="129"/>
    </row>
    <row r="28" spans="1:6" ht="12.75" x14ac:dyDescent="0.2">
      <c r="A28" s="131"/>
      <c r="B28" s="129"/>
      <c r="C28" s="129"/>
      <c r="D28" s="129"/>
      <c r="E28" s="129"/>
      <c r="F28" s="129"/>
    </row>
    <row r="29" spans="1:6" ht="12.75" x14ac:dyDescent="0.2">
      <c r="A29" s="131"/>
      <c r="B29" s="129"/>
      <c r="C29" s="129"/>
      <c r="D29" s="129"/>
      <c r="E29" s="129"/>
      <c r="F29" s="129"/>
    </row>
    <row r="30" spans="1:6" ht="12.75" x14ac:dyDescent="0.2">
      <c r="A30" s="131"/>
      <c r="B30" s="129"/>
      <c r="C30" s="129"/>
      <c r="D30" s="129"/>
      <c r="E30" s="129"/>
      <c r="F30" s="129"/>
    </row>
    <row r="31" spans="1:6" ht="12.75" x14ac:dyDescent="0.2">
      <c r="A31" s="131"/>
      <c r="B31" s="129"/>
      <c r="C31" s="129"/>
      <c r="D31" s="129"/>
      <c r="E31" s="129"/>
      <c r="F31" s="129"/>
    </row>
    <row r="32" spans="1:6" ht="12.75" x14ac:dyDescent="0.2">
      <c r="A32" s="131"/>
      <c r="B32" s="129"/>
      <c r="C32" s="129"/>
      <c r="D32" s="129"/>
      <c r="E32" s="129"/>
      <c r="F32" s="129"/>
    </row>
    <row r="33" spans="1:6" ht="12.75" x14ac:dyDescent="0.2">
      <c r="A33" s="131"/>
      <c r="B33" s="129"/>
      <c r="C33" s="129"/>
      <c r="D33" s="129"/>
      <c r="E33" s="129"/>
      <c r="F33" s="129"/>
    </row>
    <row r="34" spans="1:6" ht="12.75" x14ac:dyDescent="0.2">
      <c r="A34" s="131"/>
      <c r="B34" s="129"/>
      <c r="C34" s="129"/>
      <c r="D34" s="129"/>
      <c r="E34" s="129"/>
      <c r="F34" s="129"/>
    </row>
    <row r="35" spans="1:6" ht="12.75" x14ac:dyDescent="0.2">
      <c r="A35" s="131"/>
      <c r="B35" s="129"/>
      <c r="C35" s="129"/>
      <c r="D35" s="129"/>
      <c r="E35" s="129"/>
      <c r="F35" s="129"/>
    </row>
    <row r="36" spans="1:6" ht="26.25" x14ac:dyDescent="0.4">
      <c r="A36" s="5"/>
      <c r="B36" s="5"/>
      <c r="C36" s="5"/>
      <c r="D36" s="132" t="e">
        <f>#REF!</f>
        <v>#REF!</v>
      </c>
      <c r="E36" s="133"/>
      <c r="F36" s="133"/>
    </row>
  </sheetData>
  <sheetProtection selectLockedCells="1"/>
  <mergeCells count="23">
    <mergeCell ref="A1:F1"/>
    <mergeCell ref="A4:B4"/>
    <mergeCell ref="D5:E5"/>
    <mergeCell ref="A11:F11"/>
    <mergeCell ref="A12:F12"/>
    <mergeCell ref="A13:F13"/>
    <mergeCell ref="A14:F14"/>
    <mergeCell ref="A15:F15"/>
    <mergeCell ref="A20:F20"/>
    <mergeCell ref="A19:F19"/>
    <mergeCell ref="A16:F16"/>
    <mergeCell ref="A21:F21"/>
    <mergeCell ref="A33:F33"/>
    <mergeCell ref="A34:F34"/>
    <mergeCell ref="A35:F35"/>
    <mergeCell ref="D36:F36"/>
    <mergeCell ref="A22:F22"/>
    <mergeCell ref="A27:F27"/>
    <mergeCell ref="A28:F28"/>
    <mergeCell ref="A29:F29"/>
    <mergeCell ref="A30:F30"/>
    <mergeCell ref="A31:F31"/>
    <mergeCell ref="A32:F32"/>
  </mergeCells>
  <printOptions horizontalCentered="1"/>
  <pageMargins left="0.7" right="0.7" top="0.75" bottom="0.75" header="0" footer="0"/>
  <pageSetup paperSize="9" fitToHeight="0" pageOrder="overThenDown" orientation="portrait" cellComments="atEnd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C17"/>
  <sheetViews>
    <sheetView topLeftCell="A4" zoomScale="145" zoomScaleNormal="145" workbookViewId="0">
      <selection activeCell="B12" sqref="B12"/>
    </sheetView>
  </sheetViews>
  <sheetFormatPr baseColWidth="10" defaultColWidth="12.5703125" defaultRowHeight="15.75" customHeight="1" x14ac:dyDescent="0.2"/>
  <cols>
    <col min="1" max="1" width="30.42578125" bestFit="1" customWidth="1"/>
    <col min="2" max="2" width="19.140625" customWidth="1"/>
  </cols>
  <sheetData>
    <row r="1" spans="1:3" ht="15.75" customHeight="1" x14ac:dyDescent="0.25">
      <c r="A1" s="10"/>
      <c r="B1" s="10"/>
      <c r="C1" s="9"/>
    </row>
    <row r="2" spans="1:3" ht="15.75" customHeight="1" x14ac:dyDescent="0.25">
      <c r="A2" s="11"/>
      <c r="B2" s="11"/>
      <c r="C2" s="9"/>
    </row>
    <row r="3" spans="1:3" ht="15.75" customHeight="1" x14ac:dyDescent="0.25">
      <c r="A3" s="11"/>
      <c r="B3" s="11"/>
      <c r="C3" s="9"/>
    </row>
    <row r="4" spans="1:3" ht="27.75" customHeight="1" x14ac:dyDescent="0.25">
      <c r="A4" s="11"/>
      <c r="B4" s="11"/>
      <c r="C4" s="9"/>
    </row>
    <row r="5" spans="1:3" ht="21.75" customHeight="1" x14ac:dyDescent="0.25">
      <c r="A5" s="142" t="s">
        <v>14</v>
      </c>
      <c r="B5" s="142"/>
      <c r="C5" s="9"/>
    </row>
    <row r="6" spans="1:3" ht="9" customHeight="1" x14ac:dyDescent="0.25">
      <c r="C6" s="9"/>
    </row>
    <row r="7" spans="1:3" ht="21" x14ac:dyDescent="0.25">
      <c r="A7" s="140">
        <f ca="1">TODAY()</f>
        <v>45474</v>
      </c>
      <c r="B7" s="141"/>
      <c r="C7" s="9"/>
    </row>
    <row r="8" spans="1:3" ht="19.5" x14ac:dyDescent="0.25">
      <c r="A8" s="12"/>
      <c r="B8" s="12"/>
      <c r="C8" s="9"/>
    </row>
    <row r="9" spans="1:3" ht="21" x14ac:dyDescent="0.25">
      <c r="A9" s="13" t="s">
        <v>865</v>
      </c>
      <c r="B9" s="14" t="str">
        <f>IMPRESSION!B52</f>
        <v>5W30 XTS</v>
      </c>
      <c r="C9" s="9"/>
    </row>
    <row r="10" spans="1:3" ht="21" x14ac:dyDescent="0.25">
      <c r="A10" s="13" t="s">
        <v>860</v>
      </c>
      <c r="B10" s="14" t="str">
        <f>IF(A10&lt;&gt;"","OK","")</f>
        <v>OK</v>
      </c>
      <c r="C10" s="9"/>
    </row>
    <row r="11" spans="1:3" ht="21" x14ac:dyDescent="0.25">
      <c r="A11" s="13"/>
      <c r="B11" s="14"/>
      <c r="C11" s="9"/>
    </row>
    <row r="12" spans="1:3" ht="21" x14ac:dyDescent="0.25">
      <c r="A12" s="13"/>
      <c r="B12" s="14"/>
      <c r="C12" s="9"/>
    </row>
    <row r="13" spans="1:3" ht="21" x14ac:dyDescent="0.25">
      <c r="A13" s="13" t="str">
        <f>_xlfn.CONCAT("KILOMETRAGE")</f>
        <v>KILOMETRAGE</v>
      </c>
      <c r="B13" s="85">
        <f>IMPRESSION!C12</f>
        <v>42233</v>
      </c>
      <c r="C13" s="91"/>
    </row>
    <row r="14" spans="1:3" ht="19.5" x14ac:dyDescent="0.25">
      <c r="A14" s="15"/>
      <c r="B14" s="16"/>
      <c r="C14" s="91"/>
    </row>
    <row r="15" spans="1:3" ht="21" customHeight="1" x14ac:dyDescent="0.25">
      <c r="A15" s="143" t="s">
        <v>859</v>
      </c>
      <c r="B15" s="143"/>
      <c r="C15" s="9"/>
    </row>
    <row r="16" spans="1:3" ht="26.25" x14ac:dyDescent="0.25">
      <c r="A16" s="139">
        <f>B13+10000</f>
        <v>52233</v>
      </c>
      <c r="B16" s="139"/>
      <c r="C16" s="9"/>
    </row>
    <row r="17" spans="1:3" ht="13.5" x14ac:dyDescent="0.25">
      <c r="A17" s="9"/>
      <c r="B17" s="9"/>
      <c r="C17" s="9"/>
    </row>
  </sheetData>
  <sheetProtection selectLockedCells="1"/>
  <mergeCells count="4">
    <mergeCell ref="A16:B16"/>
    <mergeCell ref="A7:B7"/>
    <mergeCell ref="A5:B5"/>
    <mergeCell ref="A15:B15"/>
  </mergeCells>
  <printOptions horizontalCentered="1" verticalCentered="1"/>
  <pageMargins left="0" right="0" top="0" bottom="0" header="0" footer="0"/>
  <pageSetup paperSize="9" scale="47" pageOrder="overThenDown" orientation="landscape" blackAndWhite="1" horizontalDpi="4294967293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391FA-B2AE-44E5-8B70-4D3B264BE057}">
  <sheetPr codeName="Feuil6"/>
  <dimension ref="A1:C12"/>
  <sheetViews>
    <sheetView zoomScale="190" zoomScaleNormal="190" workbookViewId="0">
      <selection activeCell="D10" sqref="D10"/>
    </sheetView>
  </sheetViews>
  <sheetFormatPr baseColWidth="10" defaultRowHeight="12.75" x14ac:dyDescent="0.2"/>
  <cols>
    <col min="2" max="2" width="11.28515625" customWidth="1"/>
    <col min="3" max="3" width="11.42578125" hidden="1" customWidth="1"/>
  </cols>
  <sheetData>
    <row r="1" spans="1:3" ht="24" customHeight="1" x14ac:dyDescent="0.2"/>
    <row r="2" spans="1:3" x14ac:dyDescent="0.2">
      <c r="A2" s="8"/>
      <c r="B2" s="8"/>
    </row>
    <row r="3" spans="1:3" x14ac:dyDescent="0.2">
      <c r="A3" s="8"/>
      <c r="B3" s="8"/>
    </row>
    <row r="4" spans="1:3" ht="28.5" customHeight="1" x14ac:dyDescent="0.2">
      <c r="A4" s="8"/>
      <c r="B4" s="8"/>
    </row>
    <row r="5" spans="1:3" ht="13.5" customHeight="1" x14ac:dyDescent="0.2">
      <c r="A5" s="147" t="s">
        <v>14</v>
      </c>
      <c r="B5" s="147"/>
    </row>
    <row r="6" spans="1:3" ht="9.75" customHeight="1" x14ac:dyDescent="0.2">
      <c r="A6" s="8"/>
      <c r="B6" s="8"/>
    </row>
    <row r="7" spans="1:3" ht="15.75" x14ac:dyDescent="0.3">
      <c r="A7" s="144">
        <f ca="1">TODAY()</f>
        <v>45474</v>
      </c>
      <c r="B7" s="144"/>
    </row>
    <row r="8" spans="1:3" x14ac:dyDescent="0.2">
      <c r="A8" s="8"/>
      <c r="B8" s="8"/>
    </row>
    <row r="9" spans="1:3" ht="15" x14ac:dyDescent="0.25">
      <c r="A9" s="145" t="str">
        <f>IF(IMPRESSION!G53=IMPRESSION!P56, "FILTRE A CARBURANT", "NE PAS IMPRIMER")</f>
        <v>NE PAS IMPRIMER</v>
      </c>
      <c r="B9" s="145"/>
    </row>
    <row r="10" spans="1:3" ht="18.75" x14ac:dyDescent="0.2">
      <c r="A10" s="146" t="s">
        <v>2802</v>
      </c>
      <c r="B10" s="146"/>
    </row>
    <row r="12" spans="1:3" x14ac:dyDescent="0.2">
      <c r="C12">
        <f>IMPRESSION!C12+10000</f>
        <v>52233</v>
      </c>
    </row>
  </sheetData>
  <sheetProtection selectLockedCells="1"/>
  <mergeCells count="4">
    <mergeCell ref="A7:B7"/>
    <mergeCell ref="A9:B9"/>
    <mergeCell ref="A10:B10"/>
    <mergeCell ref="A5:B5"/>
  </mergeCells>
  <pageMargins left="0" right="0" top="0" bottom="0" header="0" footer="0"/>
  <pageSetup paperSize="25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6115-698A-4A85-9A8A-993D9254765B}">
  <sheetPr codeName="Feuil7"/>
  <dimension ref="A1:CD223"/>
  <sheetViews>
    <sheetView topLeftCell="A154" workbookViewId="0">
      <selection activeCell="A185" sqref="A185:XFD185"/>
    </sheetView>
  </sheetViews>
  <sheetFormatPr baseColWidth="10" defaultRowHeight="12.75" x14ac:dyDescent="0.2"/>
  <cols>
    <col min="1" max="1" width="17.7109375" style="77" bestFit="1" customWidth="1"/>
    <col min="2" max="2" width="22.7109375" style="88" customWidth="1"/>
    <col min="3" max="3" width="11.42578125" style="77"/>
    <col min="4" max="4" width="14.5703125" style="77" customWidth="1"/>
    <col min="5" max="5" width="17.42578125" style="77" customWidth="1"/>
    <col min="6" max="6" width="15.140625" style="77" customWidth="1"/>
    <col min="7" max="7" width="22.42578125" style="77" customWidth="1"/>
    <col min="8" max="8" width="21.5703125" style="77" customWidth="1"/>
    <col min="9" max="9" width="24.7109375" style="77" bestFit="1" customWidth="1"/>
    <col min="10" max="10" width="25" style="77" customWidth="1"/>
    <col min="11" max="11" width="25.42578125" style="77" customWidth="1"/>
    <col min="12" max="12" width="11.140625" style="77" customWidth="1"/>
    <col min="13" max="13" width="9.7109375" style="77" customWidth="1"/>
    <col min="14" max="14" width="16.5703125" style="86" customWidth="1"/>
    <col min="15" max="15" width="16.42578125" style="77" customWidth="1"/>
    <col min="16" max="16" width="25" style="77" customWidth="1"/>
    <col min="17" max="17" width="13" style="77" bestFit="1" customWidth="1"/>
    <col min="18" max="18" width="25" style="77" customWidth="1"/>
    <col min="19" max="19" width="13.42578125" style="77" customWidth="1"/>
    <col min="20" max="20" width="11.42578125" style="77"/>
    <col min="21" max="21" width="14.7109375" style="77" customWidth="1"/>
    <col min="22" max="22" width="14.42578125" style="77" customWidth="1"/>
    <col min="23" max="23" width="11.7109375" style="77" customWidth="1"/>
    <col min="24" max="24" width="16.5703125" style="77" customWidth="1"/>
    <col min="25" max="25" width="20.140625" style="77" bestFit="1" customWidth="1"/>
    <col min="26" max="26" width="14.28515625" style="77" customWidth="1"/>
    <col min="27" max="27" width="14.5703125" style="77" customWidth="1"/>
    <col min="28" max="28" width="14.85546875" style="77" customWidth="1"/>
    <col min="29" max="29" width="18.28515625" style="77" customWidth="1"/>
    <col min="30" max="30" width="19.42578125" style="77" customWidth="1"/>
    <col min="31" max="31" width="20.42578125" style="77" customWidth="1"/>
    <col min="32" max="32" width="19.140625" style="77" customWidth="1"/>
    <col min="33" max="33" width="11.42578125" style="77"/>
    <col min="34" max="34" width="17.140625" style="77" customWidth="1"/>
    <col min="35" max="35" width="18.140625" style="77" customWidth="1"/>
    <col min="36" max="36" width="26.140625" style="77" customWidth="1"/>
    <col min="37" max="37" width="19" style="77" customWidth="1"/>
    <col min="38" max="38" width="12.85546875" style="77" customWidth="1"/>
    <col min="39" max="39" width="14.7109375" style="77" customWidth="1"/>
    <col min="40" max="40" width="18.28515625" style="77" customWidth="1"/>
    <col min="41" max="41" width="17.5703125" style="77" customWidth="1"/>
    <col min="42" max="42" width="12.5703125" style="77" customWidth="1"/>
    <col min="43" max="43" width="21.140625" style="77" customWidth="1"/>
    <col min="44" max="44" width="11.85546875" style="77" customWidth="1"/>
    <col min="45" max="45" width="11.42578125" style="77"/>
    <col min="46" max="46" width="16.140625" style="77" customWidth="1"/>
    <col min="47" max="47" width="13.7109375" style="77" customWidth="1"/>
    <col min="48" max="48" width="17" style="77" customWidth="1"/>
    <col min="49" max="49" width="16.140625" style="77" customWidth="1"/>
    <col min="50" max="50" width="19" style="77" customWidth="1"/>
    <col min="51" max="51" width="16" style="77" customWidth="1"/>
    <col min="52" max="52" width="18.140625" style="77" customWidth="1"/>
    <col min="53" max="53" width="20.28515625" style="77" customWidth="1"/>
    <col min="54" max="54" width="18.5703125" style="77" customWidth="1"/>
    <col min="55" max="59" width="18.7109375" style="79" bestFit="1" customWidth="1"/>
    <col min="60" max="60" width="43.140625" style="79" bestFit="1" customWidth="1"/>
    <col min="61" max="61" width="45" style="79" bestFit="1" customWidth="1"/>
    <col min="62" max="63" width="18.7109375" style="79" bestFit="1" customWidth="1"/>
    <col min="64" max="64" width="19.7109375" style="79" bestFit="1" customWidth="1"/>
    <col min="65" max="65" width="19.28515625" style="77" customWidth="1"/>
    <col min="66" max="66" width="11.42578125" style="77"/>
    <col min="67" max="67" width="16.28515625" style="77" bestFit="1" customWidth="1"/>
    <col min="68" max="71" width="27" style="79" bestFit="1" customWidth="1"/>
    <col min="72" max="72" width="22" style="84" bestFit="1" customWidth="1"/>
    <col min="73" max="73" width="18.7109375" style="84" bestFit="1" customWidth="1"/>
    <col min="74" max="74" width="25.140625" style="77" bestFit="1" customWidth="1"/>
    <col min="75" max="75" width="5.7109375" style="77" customWidth="1"/>
    <col min="76" max="76" width="11.42578125" style="77"/>
    <col min="77" max="77" width="15.28515625" style="82" bestFit="1" customWidth="1"/>
    <col min="78" max="16384" width="11.42578125" style="77"/>
  </cols>
  <sheetData>
    <row r="1" spans="1:82" ht="12.75" customHeight="1" x14ac:dyDescent="0.2">
      <c r="A1" s="80" t="s">
        <v>867</v>
      </c>
      <c r="B1" s="87" t="s">
        <v>884</v>
      </c>
      <c r="C1" s="77" t="s">
        <v>2</v>
      </c>
      <c r="D1" s="77" t="s">
        <v>3</v>
      </c>
      <c r="E1" s="77" t="s">
        <v>860</v>
      </c>
      <c r="F1" s="77" t="s">
        <v>861</v>
      </c>
      <c r="G1" s="77" t="s">
        <v>862</v>
      </c>
      <c r="H1" s="77" t="s">
        <v>863</v>
      </c>
      <c r="I1" s="77" t="s">
        <v>864</v>
      </c>
      <c r="J1" s="77" t="s">
        <v>4</v>
      </c>
      <c r="K1" s="77" t="s">
        <v>5</v>
      </c>
      <c r="L1" s="77" t="s">
        <v>6</v>
      </c>
      <c r="M1" s="77" t="s">
        <v>7</v>
      </c>
      <c r="N1" s="86" t="s">
        <v>8</v>
      </c>
      <c r="O1" s="77" t="s">
        <v>9</v>
      </c>
      <c r="P1" s="77" t="s">
        <v>16</v>
      </c>
      <c r="Q1" s="77" t="s">
        <v>19</v>
      </c>
      <c r="R1" s="77" t="s">
        <v>21</v>
      </c>
      <c r="S1" s="77" t="s">
        <v>23</v>
      </c>
      <c r="T1" s="77" t="s">
        <v>25</v>
      </c>
      <c r="U1" s="77" t="s">
        <v>27</v>
      </c>
      <c r="V1" s="77" t="s">
        <v>29</v>
      </c>
      <c r="W1" s="77" t="s">
        <v>31</v>
      </c>
      <c r="X1" s="77" t="s">
        <v>33</v>
      </c>
      <c r="Y1" s="77" t="s">
        <v>960</v>
      </c>
      <c r="Z1" s="77" t="s">
        <v>38</v>
      </c>
      <c r="AA1" s="77" t="s">
        <v>40</v>
      </c>
      <c r="AB1" s="77" t="s">
        <v>42</v>
      </c>
      <c r="AC1" s="77" t="s">
        <v>44</v>
      </c>
      <c r="AD1" s="77" t="s">
        <v>46</v>
      </c>
      <c r="AE1" s="77" t="s">
        <v>48</v>
      </c>
      <c r="AF1" s="77" t="s">
        <v>51</v>
      </c>
      <c r="AG1" s="77" t="s">
        <v>53</v>
      </c>
      <c r="AH1" s="77" t="s">
        <v>55</v>
      </c>
      <c r="AI1" s="77" t="s">
        <v>57</v>
      </c>
      <c r="AJ1" s="77" t="s">
        <v>18</v>
      </c>
      <c r="AK1" s="77" t="s">
        <v>20</v>
      </c>
      <c r="AL1" s="77" t="s">
        <v>22</v>
      </c>
      <c r="AM1" s="77" t="s">
        <v>24</v>
      </c>
      <c r="AN1" s="77" t="s">
        <v>26</v>
      </c>
      <c r="AO1" s="77" t="s">
        <v>28</v>
      </c>
      <c r="AP1" s="77" t="s">
        <v>30</v>
      </c>
      <c r="AQ1" s="77" t="s">
        <v>32</v>
      </c>
      <c r="AR1" s="77" t="s">
        <v>37</v>
      </c>
      <c r="AS1" s="77" t="s">
        <v>39</v>
      </c>
      <c r="AT1" s="77" t="s">
        <v>41</v>
      </c>
      <c r="AU1" s="77" t="s">
        <v>43</v>
      </c>
      <c r="AV1" s="77" t="s">
        <v>45</v>
      </c>
      <c r="AW1" s="77" t="s">
        <v>47</v>
      </c>
      <c r="AX1" s="77" t="s">
        <v>50</v>
      </c>
      <c r="AY1" s="77" t="s">
        <v>52</v>
      </c>
      <c r="AZ1" s="77" t="s">
        <v>54</v>
      </c>
      <c r="BA1" s="77" t="s">
        <v>56</v>
      </c>
      <c r="BB1" s="77" t="s">
        <v>58</v>
      </c>
      <c r="BC1" s="78" t="s">
        <v>937</v>
      </c>
      <c r="BD1" s="78" t="s">
        <v>938</v>
      </c>
      <c r="BE1" s="78" t="s">
        <v>939</v>
      </c>
      <c r="BF1" s="78" t="s">
        <v>940</v>
      </c>
      <c r="BG1" s="78" t="s">
        <v>941</v>
      </c>
      <c r="BH1" s="78" t="s">
        <v>942</v>
      </c>
      <c r="BI1" s="78" t="s">
        <v>943</v>
      </c>
      <c r="BJ1" s="78" t="s">
        <v>944</v>
      </c>
      <c r="BK1" s="78" t="s">
        <v>945</v>
      </c>
      <c r="BL1" s="78" t="s">
        <v>946</v>
      </c>
      <c r="BM1" s="77" t="s">
        <v>961</v>
      </c>
      <c r="BN1" s="77" t="s">
        <v>962</v>
      </c>
      <c r="BO1" s="77" t="s">
        <v>963</v>
      </c>
      <c r="BP1" s="79" t="s">
        <v>964</v>
      </c>
      <c r="BQ1" s="79" t="s">
        <v>965</v>
      </c>
      <c r="BR1" s="79" t="s">
        <v>966</v>
      </c>
      <c r="BS1" s="79" t="s">
        <v>967</v>
      </c>
      <c r="BT1" s="84" t="s">
        <v>968</v>
      </c>
      <c r="BU1" s="84" t="s">
        <v>969</v>
      </c>
      <c r="BV1" s="81" t="s">
        <v>970</v>
      </c>
      <c r="BW1" s="81"/>
      <c r="BX1" s="77" t="str" cm="1">
        <f t="array" ref="BX1:BX193">_xlfn._xlws.SORT(_xlfn.UNIQUE(_xlfn._xlws.FILTER(CHECK[Immatriculation],CHECK[Immatriculation]&lt;&gt;"")))</f>
        <v>AA622QZ</v>
      </c>
      <c r="BY1" s="82" cm="1">
        <f t="array" ref="BY1">_xlfn._xlws.SORT(_xlfn.UNIQUE(_xlfn._xlws.FILTER(CHECK[DATE_DU_CONTROLE],(CHECK[DATE_DU_CONTROLE]&lt;&gt;"")*(CHECK[Immatriculation]=IMPRESSION!C9))))</f>
        <v>45462.398287037038</v>
      </c>
      <c r="CA1" s="81" t="s">
        <v>971</v>
      </c>
      <c r="CB1" s="77" cm="1">
        <f t="array" ref="CB1">ROWS(_xlfn._xlws.SORT(_xlfn.UNIQUE(_xlfn._xlws.FILTER(CHECK[Immatriculation],CHECK[Immatriculation]&lt;&gt;""))))</f>
        <v>193</v>
      </c>
      <c r="CC1" s="81" t="s">
        <v>972</v>
      </c>
      <c r="CD1" s="77" cm="1">
        <f t="array" ref="CD1">ROWS(_xlfn._xlws.SORT(_xlfn.UNIQUE(_xlfn._xlws.FILTER(CHECK[DATE_DU_CONTROLE],CHECK[DATE_DU_CONTROLE]&lt;&gt;"")*(CHECK[Immatriculation]=IMPRESSION!C9))))</f>
        <v>3</v>
      </c>
    </row>
    <row r="2" spans="1:82" x14ac:dyDescent="0.2">
      <c r="A2" s="77" t="s">
        <v>821</v>
      </c>
      <c r="B2" s="88">
        <v>45340.870219907411</v>
      </c>
      <c r="C2" s="77" t="s">
        <v>1007</v>
      </c>
      <c r="D2" s="77" t="s">
        <v>957</v>
      </c>
      <c r="E2" s="77" t="b">
        <v>1</v>
      </c>
      <c r="F2" s="77" t="b">
        <v>1</v>
      </c>
      <c r="G2" s="77" t="b">
        <v>1</v>
      </c>
      <c r="H2" s="77" t="b">
        <v>1</v>
      </c>
      <c r="I2" s="77" t="s">
        <v>94</v>
      </c>
      <c r="J2" s="77">
        <v>34</v>
      </c>
      <c r="K2" s="77" t="s">
        <v>308</v>
      </c>
      <c r="L2" s="77" t="s">
        <v>111</v>
      </c>
      <c r="M2" s="77" t="s">
        <v>1357</v>
      </c>
      <c r="N2" s="86">
        <v>100000</v>
      </c>
      <c r="O2" s="77" t="s">
        <v>1452</v>
      </c>
      <c r="P2" s="77" t="s">
        <v>1448</v>
      </c>
      <c r="Q2" s="77" t="s">
        <v>1448</v>
      </c>
      <c r="R2" s="77" t="s">
        <v>1448</v>
      </c>
      <c r="S2" s="77" t="s">
        <v>1448</v>
      </c>
      <c r="T2" s="77" t="s">
        <v>1448</v>
      </c>
      <c r="U2" s="77" t="s">
        <v>1448</v>
      </c>
      <c r="V2" s="77" t="s">
        <v>1448</v>
      </c>
      <c r="W2" s="77" t="s">
        <v>1448</v>
      </c>
      <c r="X2" s="77" t="s">
        <v>1448</v>
      </c>
      <c r="Y2" s="77" t="s">
        <v>1448</v>
      </c>
      <c r="Z2" s="77" t="s">
        <v>1448</v>
      </c>
      <c r="AA2" s="77" t="s">
        <v>1448</v>
      </c>
      <c r="AB2" s="77" t="s">
        <v>1448</v>
      </c>
      <c r="AC2" s="77" t="s">
        <v>1449</v>
      </c>
      <c r="AD2" s="77" t="s">
        <v>1449</v>
      </c>
      <c r="AE2" s="77" t="s">
        <v>1449</v>
      </c>
      <c r="AF2" s="77" t="s">
        <v>1449</v>
      </c>
      <c r="AG2" s="77" t="s">
        <v>1449</v>
      </c>
      <c r="AH2" s="77" t="s">
        <v>1449</v>
      </c>
      <c r="AI2" s="77" t="s">
        <v>1449</v>
      </c>
      <c r="AJ2" s="77" t="s">
        <v>1449</v>
      </c>
      <c r="AK2" s="77" t="s">
        <v>1449</v>
      </c>
      <c r="AL2" s="77" t="s">
        <v>1449</v>
      </c>
      <c r="AM2" s="77" t="s">
        <v>1449</v>
      </c>
      <c r="AN2" s="77" t="s">
        <v>1449</v>
      </c>
      <c r="AO2" s="77" t="s">
        <v>1449</v>
      </c>
      <c r="AP2" s="77" t="s">
        <v>1450</v>
      </c>
      <c r="AQ2" s="77" t="s">
        <v>1450</v>
      </c>
      <c r="AR2" s="77" t="s">
        <v>1450</v>
      </c>
      <c r="AS2" s="77" t="s">
        <v>1450</v>
      </c>
      <c r="AT2" s="77" t="s">
        <v>1450</v>
      </c>
      <c r="AU2" s="77" t="s">
        <v>1450</v>
      </c>
      <c r="AV2" s="77" t="s">
        <v>1450</v>
      </c>
      <c r="AW2" s="77" t="s">
        <v>1450</v>
      </c>
      <c r="AX2" s="77" t="s">
        <v>1450</v>
      </c>
      <c r="AY2" s="77" t="s">
        <v>1450</v>
      </c>
      <c r="AZ2" s="77" t="s">
        <v>1450</v>
      </c>
      <c r="BA2" s="77" t="s">
        <v>1450</v>
      </c>
      <c r="BB2" s="77" t="s">
        <v>1450</v>
      </c>
      <c r="BC2" s="79" t="s">
        <v>1451</v>
      </c>
      <c r="BD2" s="79">
        <v>1</v>
      </c>
      <c r="BE2" s="79">
        <v>2</v>
      </c>
      <c r="BF2" s="79">
        <v>3</v>
      </c>
      <c r="BG2" s="79">
        <v>5</v>
      </c>
      <c r="BH2" s="79">
        <v>6</v>
      </c>
      <c r="BI2" s="79">
        <v>4</v>
      </c>
      <c r="BJ2" s="79">
        <v>7</v>
      </c>
      <c r="BK2" s="79">
        <v>8</v>
      </c>
      <c r="BL2" s="79">
        <v>9</v>
      </c>
      <c r="BO2" s="77" t="b">
        <v>1</v>
      </c>
      <c r="BT2" s="84">
        <v>0</v>
      </c>
      <c r="BU2" s="84">
        <v>0</v>
      </c>
      <c r="BV2" s="77" t="str">
        <f>A2 &amp; "-" &amp; TEXT(B2, "jj/mm/aaaa") &amp; "-" &amp; COUNTIF($A$2:A223, A2)</f>
        <v>DA506JR-18/02/2024-1</v>
      </c>
      <c r="BX2" s="77" t="str">
        <v>AB046TF</v>
      </c>
    </row>
    <row r="3" spans="1:82" x14ac:dyDescent="0.2">
      <c r="A3" s="77" t="s">
        <v>516</v>
      </c>
      <c r="B3" s="88">
        <v>45342.444664351853</v>
      </c>
      <c r="C3" s="77" t="s">
        <v>1457</v>
      </c>
      <c r="D3" s="77" t="s">
        <v>959</v>
      </c>
      <c r="E3" s="77" t="b">
        <v>0</v>
      </c>
      <c r="F3" s="77" t="b">
        <v>1</v>
      </c>
      <c r="G3" s="77" t="b">
        <v>0</v>
      </c>
      <c r="H3" s="77" t="b">
        <v>0</v>
      </c>
      <c r="I3" s="77" t="s">
        <v>78</v>
      </c>
      <c r="J3" s="77">
        <v>50</v>
      </c>
      <c r="K3" s="77" t="s">
        <v>1461</v>
      </c>
      <c r="L3" s="77" t="s">
        <v>128</v>
      </c>
      <c r="M3" s="77" t="s">
        <v>342</v>
      </c>
      <c r="N3" s="86">
        <v>108224</v>
      </c>
      <c r="O3" s="77" t="s">
        <v>1462</v>
      </c>
      <c r="P3" s="77" t="s">
        <v>1450</v>
      </c>
      <c r="Q3" s="77" t="s">
        <v>1448</v>
      </c>
      <c r="R3" s="77" t="s">
        <v>1448</v>
      </c>
      <c r="S3" s="77" t="s">
        <v>1448</v>
      </c>
      <c r="T3" s="77" t="s">
        <v>1449</v>
      </c>
      <c r="U3" s="77" t="s">
        <v>1448</v>
      </c>
      <c r="V3" s="77" t="s">
        <v>1448</v>
      </c>
      <c r="W3" s="77" t="s">
        <v>1448</v>
      </c>
      <c r="X3" s="77" t="s">
        <v>1448</v>
      </c>
      <c r="Y3" s="77" t="s">
        <v>1448</v>
      </c>
      <c r="Z3" s="77" t="s">
        <v>1448</v>
      </c>
      <c r="AA3" s="77" t="s">
        <v>1448</v>
      </c>
      <c r="AB3" s="77" t="s">
        <v>1448</v>
      </c>
      <c r="AC3" s="77" t="s">
        <v>1448</v>
      </c>
      <c r="AD3" s="77" t="s">
        <v>1449</v>
      </c>
      <c r="AE3" s="77" t="s">
        <v>1448</v>
      </c>
      <c r="AF3" s="77" t="s">
        <v>1448</v>
      </c>
      <c r="AG3" s="77" t="s">
        <v>1448</v>
      </c>
      <c r="AH3" s="77" t="s">
        <v>1448</v>
      </c>
      <c r="AI3" s="77" t="s">
        <v>1448</v>
      </c>
      <c r="AJ3" s="77" t="s">
        <v>1448</v>
      </c>
      <c r="AK3" s="77" t="s">
        <v>1448</v>
      </c>
      <c r="AL3" s="77" t="s">
        <v>1448</v>
      </c>
      <c r="AM3" s="77" t="s">
        <v>1448</v>
      </c>
      <c r="AN3" s="77" t="s">
        <v>1448</v>
      </c>
      <c r="AO3" s="77" t="s">
        <v>1448</v>
      </c>
      <c r="AP3" s="77" t="s">
        <v>1448</v>
      </c>
      <c r="AQ3" s="77" t="s">
        <v>1448</v>
      </c>
      <c r="AR3" s="77" t="s">
        <v>1448</v>
      </c>
      <c r="AS3" s="77" t="s">
        <v>1448</v>
      </c>
      <c r="AT3" s="77" t="s">
        <v>1448</v>
      </c>
      <c r="AU3" s="77" t="s">
        <v>1448</v>
      </c>
      <c r="AV3" s="77" t="s">
        <v>1448</v>
      </c>
      <c r="AW3" s="77" t="s">
        <v>1448</v>
      </c>
      <c r="AX3" s="77" t="s">
        <v>1448</v>
      </c>
      <c r="AY3" s="77" t="s">
        <v>1448</v>
      </c>
      <c r="AZ3" s="77" t="s">
        <v>1448</v>
      </c>
      <c r="BA3" s="77" t="s">
        <v>1448</v>
      </c>
      <c r="BB3" s="77" t="s">
        <v>1448</v>
      </c>
      <c r="BC3" s="79" t="s">
        <v>1463</v>
      </c>
      <c r="BD3" s="79" t="s">
        <v>1464</v>
      </c>
      <c r="BO3" s="77" t="b">
        <v>1</v>
      </c>
      <c r="BT3" s="84">
        <v>0</v>
      </c>
      <c r="BU3" s="84">
        <v>0</v>
      </c>
      <c r="BV3" s="77" t="str">
        <f>A3 &amp; "-" &amp; TEXT(B3, "jj/mm/aaaa") &amp; "-" &amp; COUNTIF($A$2:A223, A3)</f>
        <v>EE935QX-20/02/2024-1</v>
      </c>
      <c r="BX3" s="77" t="str">
        <v>AC133FW</v>
      </c>
    </row>
    <row r="4" spans="1:82" x14ac:dyDescent="0.2">
      <c r="A4" s="77" t="s">
        <v>1465</v>
      </c>
      <c r="B4" s="88" t="s">
        <v>1475</v>
      </c>
      <c r="C4" s="77" t="s">
        <v>1466</v>
      </c>
      <c r="D4" s="77" t="s">
        <v>957</v>
      </c>
      <c r="E4" s="77" t="b">
        <v>0</v>
      </c>
      <c r="F4" s="77" t="b">
        <v>0</v>
      </c>
      <c r="G4" s="77" t="b">
        <v>0</v>
      </c>
      <c r="H4" s="77" t="b">
        <v>0</v>
      </c>
      <c r="I4" s="77" t="s">
        <v>1470</v>
      </c>
      <c r="J4" s="77" t="s">
        <v>1469</v>
      </c>
      <c r="K4" s="77" t="s">
        <v>238</v>
      </c>
      <c r="L4" s="77" t="s">
        <v>228</v>
      </c>
      <c r="M4" s="77" t="s">
        <v>246</v>
      </c>
      <c r="N4" s="86">
        <v>102422</v>
      </c>
      <c r="BC4" s="79" t="s">
        <v>1476</v>
      </c>
      <c r="BO4" s="77" t="b">
        <v>0</v>
      </c>
      <c r="BT4" s="84">
        <v>0</v>
      </c>
      <c r="BU4" s="84">
        <v>0</v>
      </c>
      <c r="BV4" s="77" t="str">
        <f>A4 &amp; "-" &amp; TEXT(B4, "jj/mm/aaaa") &amp; "-" &amp; COUNTIF($A$2:A223, A4)</f>
        <v>EY030YA-20/02/2024-2</v>
      </c>
      <c r="BX4" s="77" t="str">
        <v>AC181TF</v>
      </c>
    </row>
    <row r="5" spans="1:82" x14ac:dyDescent="0.2">
      <c r="A5" s="77" t="s">
        <v>1485</v>
      </c>
      <c r="B5" s="88" t="s">
        <v>1486</v>
      </c>
      <c r="C5" s="77" t="s">
        <v>1487</v>
      </c>
      <c r="D5" s="77" t="s">
        <v>957</v>
      </c>
      <c r="E5" s="77" t="b">
        <v>0</v>
      </c>
      <c r="F5" s="77" t="b">
        <v>0</v>
      </c>
      <c r="G5" s="77" t="b">
        <v>0</v>
      </c>
      <c r="H5" s="77" t="b">
        <v>0</v>
      </c>
      <c r="I5" s="77" t="s">
        <v>1488</v>
      </c>
      <c r="J5" s="77" t="s">
        <v>1484</v>
      </c>
      <c r="K5" s="77" t="s">
        <v>94</v>
      </c>
      <c r="L5" s="77" t="s">
        <v>105</v>
      </c>
      <c r="M5" s="77" t="s">
        <v>379</v>
      </c>
      <c r="N5" s="86">
        <v>212454</v>
      </c>
      <c r="BO5" s="77" t="b">
        <v>1</v>
      </c>
      <c r="BT5" s="84">
        <v>0</v>
      </c>
      <c r="BU5" s="84">
        <v>0</v>
      </c>
      <c r="BV5" s="77" t="str">
        <f>A5 &amp; "-" &amp; TEXT(B5, "jj/mm/aaaa") &amp; "-" &amp; COUNTIF($A$2:A223, A5)</f>
        <v>BB312CG-20/02/2024-3</v>
      </c>
      <c r="BX5" s="77" t="str">
        <v>AC811ZB</v>
      </c>
    </row>
    <row r="6" spans="1:82" x14ac:dyDescent="0.2">
      <c r="A6" s="77" t="s">
        <v>385</v>
      </c>
      <c r="B6" s="88" t="s">
        <v>1489</v>
      </c>
      <c r="C6" s="77" t="s">
        <v>175</v>
      </c>
      <c r="D6" s="77" t="s">
        <v>959</v>
      </c>
      <c r="E6" s="77" t="b">
        <v>0</v>
      </c>
      <c r="F6" s="77" t="b">
        <v>0</v>
      </c>
      <c r="G6" s="77" t="b">
        <v>0</v>
      </c>
      <c r="H6" s="77" t="b">
        <v>0</v>
      </c>
      <c r="I6" s="77" t="s">
        <v>94</v>
      </c>
      <c r="J6" s="77">
        <v>34</v>
      </c>
      <c r="K6" s="77" t="s">
        <v>308</v>
      </c>
      <c r="L6" s="77" t="s">
        <v>111</v>
      </c>
      <c r="M6" s="77">
        <v>208</v>
      </c>
      <c r="N6" s="86">
        <v>113903</v>
      </c>
      <c r="BC6" s="79" t="s">
        <v>1490</v>
      </c>
      <c r="BD6" s="79" t="s">
        <v>1491</v>
      </c>
      <c r="BE6" s="79" t="s">
        <v>1492</v>
      </c>
      <c r="BF6" s="79" t="s">
        <v>1493</v>
      </c>
      <c r="BO6" s="77" t="b">
        <v>0</v>
      </c>
      <c r="BT6" s="84">
        <v>0</v>
      </c>
      <c r="BU6" s="84">
        <v>0</v>
      </c>
      <c r="BV6" s="77" t="str">
        <f>A6 &amp; "-" &amp; TEXT(B6, "jj/mm/aaaa") &amp; "-" &amp; COUNTIF($A$2:A223, A6)</f>
        <v>DK262LK-20/02/2024-1</v>
      </c>
      <c r="BX6" s="77" t="str">
        <v>AC885PS</v>
      </c>
    </row>
    <row r="7" spans="1:82" x14ac:dyDescent="0.2">
      <c r="A7" s="77" t="s">
        <v>1477</v>
      </c>
      <c r="B7" s="88" t="s">
        <v>1494</v>
      </c>
      <c r="C7" s="77" t="s">
        <v>1478</v>
      </c>
      <c r="D7" s="77" t="s">
        <v>957</v>
      </c>
      <c r="E7" s="77" t="b">
        <v>0</v>
      </c>
      <c r="F7" s="77" t="b">
        <v>1</v>
      </c>
      <c r="G7" s="77" t="b">
        <v>1</v>
      </c>
      <c r="H7" s="77" t="b">
        <v>1</v>
      </c>
      <c r="J7" s="77" t="s">
        <v>1484</v>
      </c>
      <c r="L7" s="77" t="s">
        <v>228</v>
      </c>
      <c r="M7" s="77" t="s">
        <v>1480</v>
      </c>
      <c r="BC7" s="79" t="s">
        <v>1495</v>
      </c>
      <c r="BD7" s="79" t="s">
        <v>1496</v>
      </c>
      <c r="BE7" s="79" t="s">
        <v>1497</v>
      </c>
      <c r="BO7" s="77" t="b">
        <v>1</v>
      </c>
      <c r="BT7" s="84">
        <v>0</v>
      </c>
      <c r="BU7" s="84">
        <v>0</v>
      </c>
      <c r="BV7" s="77" t="str">
        <f>A7 &amp; "-" &amp; TEXT(B7, "jj/mm/aaaa") &amp; "-" &amp; COUNTIF($A$2:A223, A7)</f>
        <v>CC474VL-21/02/2024-3</v>
      </c>
      <c r="BX7" s="77" t="str">
        <v>AD446EE</v>
      </c>
    </row>
    <row r="8" spans="1:82" x14ac:dyDescent="0.2">
      <c r="A8" s="77" t="s">
        <v>842</v>
      </c>
      <c r="B8" s="88" t="s">
        <v>1498</v>
      </c>
      <c r="C8" s="77" t="s">
        <v>1014</v>
      </c>
      <c r="E8" s="77" t="b">
        <v>0</v>
      </c>
      <c r="F8" s="77" t="b">
        <v>0</v>
      </c>
      <c r="G8" s="77" t="b">
        <v>0</v>
      </c>
      <c r="H8" s="77" t="b">
        <v>0</v>
      </c>
      <c r="I8" s="77" t="s">
        <v>78</v>
      </c>
      <c r="J8" s="77">
        <v>20</v>
      </c>
      <c r="K8" s="77" t="s">
        <v>176</v>
      </c>
      <c r="L8" s="77" t="s">
        <v>173</v>
      </c>
      <c r="M8" s="77" t="s">
        <v>1499</v>
      </c>
      <c r="BC8" s="79" t="s">
        <v>1500</v>
      </c>
      <c r="BD8" s="79" t="s">
        <v>1501</v>
      </c>
      <c r="BE8" s="79" t="s">
        <v>1502</v>
      </c>
      <c r="BF8" s="79" t="s">
        <v>1503</v>
      </c>
      <c r="BO8" s="77" t="b">
        <v>0</v>
      </c>
      <c r="BT8" s="84">
        <v>0</v>
      </c>
      <c r="BU8" s="84">
        <v>0</v>
      </c>
      <c r="BV8" s="77" t="str">
        <f>A8 &amp; "-" &amp; TEXT(B8, "jj/mm/aaaa") &amp; "-" &amp; COUNTIF($A$2:A223, A8)</f>
        <v>DH992QK-21/02/2024-1</v>
      </c>
      <c r="BX8" s="77" t="str">
        <v>AE087WD</v>
      </c>
    </row>
    <row r="9" spans="1:82" x14ac:dyDescent="0.2">
      <c r="A9" s="77" t="s">
        <v>1477</v>
      </c>
      <c r="B9" s="88" t="s">
        <v>1507</v>
      </c>
      <c r="C9" s="77" t="s">
        <v>80</v>
      </c>
      <c r="D9" s="77" t="s">
        <v>957</v>
      </c>
      <c r="E9" s="77" t="b">
        <v>1</v>
      </c>
      <c r="F9" s="77" t="b">
        <v>1</v>
      </c>
      <c r="G9" s="77" t="b">
        <v>1</v>
      </c>
      <c r="H9" s="77" t="b">
        <v>1</v>
      </c>
      <c r="I9" s="77" t="s">
        <v>1484</v>
      </c>
      <c r="L9" s="77" t="s">
        <v>228</v>
      </c>
      <c r="M9" s="77" t="s">
        <v>1480</v>
      </c>
      <c r="N9" s="86" t="s">
        <v>1508</v>
      </c>
      <c r="BO9" s="77" t="b">
        <v>1</v>
      </c>
      <c r="BT9" s="84">
        <v>0</v>
      </c>
      <c r="BU9" s="84">
        <v>0</v>
      </c>
      <c r="BV9" s="77" t="str">
        <f>A9 &amp; "-" &amp; TEXT(B9, "jj/mm/aaaa") &amp; "-" &amp; COUNTIF($A$2:A223, A9)</f>
        <v>CC474VL-21/02/2024-3</v>
      </c>
      <c r="BX9" s="77" t="str">
        <v>AE197SP</v>
      </c>
    </row>
    <row r="10" spans="1:82" x14ac:dyDescent="0.2">
      <c r="A10" s="77" t="s">
        <v>1477</v>
      </c>
      <c r="B10" s="88" t="s">
        <v>1509</v>
      </c>
      <c r="C10" s="77" t="s">
        <v>1478</v>
      </c>
      <c r="D10" s="77" t="s">
        <v>957</v>
      </c>
      <c r="E10" s="77" t="b">
        <v>1</v>
      </c>
      <c r="F10" s="77" t="b">
        <v>1</v>
      </c>
      <c r="G10" s="77" t="b">
        <v>1</v>
      </c>
      <c r="H10" s="77" t="b">
        <v>1</v>
      </c>
      <c r="I10" s="77" t="s">
        <v>1484</v>
      </c>
      <c r="L10" s="77" t="s">
        <v>228</v>
      </c>
      <c r="M10" s="77" t="s">
        <v>1480</v>
      </c>
      <c r="N10" s="86">
        <v>212810</v>
      </c>
      <c r="O10" s="83">
        <v>45330</v>
      </c>
      <c r="P10" s="77" t="s">
        <v>1448</v>
      </c>
      <c r="Q10" s="77" t="s">
        <v>1448</v>
      </c>
      <c r="R10" s="77" t="s">
        <v>1448</v>
      </c>
      <c r="S10" s="77" t="s">
        <v>1448</v>
      </c>
      <c r="T10" s="77" t="s">
        <v>1448</v>
      </c>
      <c r="U10" s="77" t="s">
        <v>1448</v>
      </c>
      <c r="V10" s="77" t="s">
        <v>1449</v>
      </c>
      <c r="W10" s="77" t="s">
        <v>1449</v>
      </c>
      <c r="X10" s="77" t="s">
        <v>1448</v>
      </c>
      <c r="Y10" s="77" t="s">
        <v>1448</v>
      </c>
      <c r="Z10" s="77" t="s">
        <v>1449</v>
      </c>
      <c r="AA10" s="77" t="s">
        <v>1448</v>
      </c>
      <c r="AB10" s="77" t="s">
        <v>1448</v>
      </c>
      <c r="AC10" s="77" t="s">
        <v>1448</v>
      </c>
      <c r="AD10" s="77" t="s">
        <v>1448</v>
      </c>
      <c r="AE10" s="77" t="s">
        <v>1449</v>
      </c>
      <c r="AF10" s="77" t="s">
        <v>1448</v>
      </c>
      <c r="AG10" s="77" t="s">
        <v>1448</v>
      </c>
      <c r="AH10" s="77" t="s">
        <v>1448</v>
      </c>
      <c r="AI10" s="77" t="s">
        <v>1448</v>
      </c>
      <c r="AJ10" s="77" t="s">
        <v>1448</v>
      </c>
      <c r="AK10" s="77" t="s">
        <v>1448</v>
      </c>
      <c r="AL10" s="77" t="s">
        <v>1448</v>
      </c>
      <c r="AM10" s="77" t="s">
        <v>1449</v>
      </c>
      <c r="AN10" s="77" t="s">
        <v>1449</v>
      </c>
      <c r="AO10" s="77" t="s">
        <v>1449</v>
      </c>
      <c r="AP10" s="77" t="s">
        <v>1448</v>
      </c>
      <c r="AQ10" s="77" t="s">
        <v>1448</v>
      </c>
      <c r="AR10" s="77" t="s">
        <v>1448</v>
      </c>
      <c r="AS10" s="77" t="s">
        <v>1449</v>
      </c>
      <c r="AT10" s="77" t="s">
        <v>1448</v>
      </c>
      <c r="AU10" s="77" t="s">
        <v>1448</v>
      </c>
      <c r="AV10" s="77" t="s">
        <v>1448</v>
      </c>
      <c r="AW10" s="77" t="s">
        <v>1448</v>
      </c>
      <c r="AX10" s="77" t="s">
        <v>1448</v>
      </c>
      <c r="AY10" s="77" t="s">
        <v>1449</v>
      </c>
      <c r="AZ10" s="77" t="s">
        <v>1448</v>
      </c>
      <c r="BA10" s="77" t="s">
        <v>1448</v>
      </c>
      <c r="BB10" s="77" t="s">
        <v>1448</v>
      </c>
      <c r="BC10" s="79" t="s">
        <v>1510</v>
      </c>
      <c r="BD10" s="79" t="s">
        <v>1511</v>
      </c>
      <c r="BE10" s="79" t="s">
        <v>1512</v>
      </c>
      <c r="BF10" s="79" t="s">
        <v>1513</v>
      </c>
      <c r="BG10" s="79" t="s">
        <v>1514</v>
      </c>
      <c r="BH10" s="79" t="s">
        <v>1515</v>
      </c>
      <c r="BO10" s="77" t="b">
        <v>1</v>
      </c>
      <c r="BT10" s="84">
        <v>0</v>
      </c>
      <c r="BU10" s="84">
        <v>0</v>
      </c>
      <c r="BV10" s="77" t="str">
        <f>A10 &amp; "-" &amp; TEXT(B10, "jj/mm/aaaa") &amp; "-" &amp; COUNTIF($A$2:A223, A10)</f>
        <v>CC474VL-21/02/2024-3</v>
      </c>
      <c r="BX10" s="77" t="str">
        <v>AJ362ZR</v>
      </c>
    </row>
    <row r="11" spans="1:82" x14ac:dyDescent="0.2">
      <c r="A11" s="77" t="s">
        <v>822</v>
      </c>
      <c r="B11" s="88" t="s">
        <v>1519</v>
      </c>
      <c r="C11" s="77" t="s">
        <v>172</v>
      </c>
      <c r="D11" s="77" t="s">
        <v>959</v>
      </c>
      <c r="E11" s="77" t="b">
        <v>0</v>
      </c>
      <c r="F11" s="77" t="b">
        <v>0</v>
      </c>
      <c r="G11" s="77" t="b">
        <v>0</v>
      </c>
      <c r="H11" s="77" t="b">
        <v>0</v>
      </c>
      <c r="I11" s="77" t="s">
        <v>78</v>
      </c>
      <c r="K11" s="77" t="s">
        <v>81</v>
      </c>
      <c r="L11" s="77" t="s">
        <v>213</v>
      </c>
      <c r="M11" s="77" t="s">
        <v>1423</v>
      </c>
      <c r="N11" s="86">
        <v>61758</v>
      </c>
      <c r="O11" s="83">
        <v>45940</v>
      </c>
      <c r="P11" s="77" t="s">
        <v>1450</v>
      </c>
      <c r="Q11" s="77" t="s">
        <v>1448</v>
      </c>
      <c r="R11" s="77" t="s">
        <v>1448</v>
      </c>
      <c r="S11" s="77" t="s">
        <v>1448</v>
      </c>
      <c r="T11" s="77" t="s">
        <v>1448</v>
      </c>
      <c r="U11" s="77" t="s">
        <v>1448</v>
      </c>
      <c r="V11" s="77" t="s">
        <v>1448</v>
      </c>
      <c r="W11" s="77" t="s">
        <v>1449</v>
      </c>
      <c r="X11" s="77" t="s">
        <v>1448</v>
      </c>
      <c r="Y11" s="77" t="s">
        <v>1448</v>
      </c>
      <c r="Z11" s="77" t="s">
        <v>1449</v>
      </c>
      <c r="AA11" s="77" t="s">
        <v>1448</v>
      </c>
      <c r="AB11" s="77" t="s">
        <v>1448</v>
      </c>
      <c r="AC11" s="77" t="s">
        <v>1448</v>
      </c>
      <c r="AD11" s="77" t="s">
        <v>1448</v>
      </c>
      <c r="AE11" s="77" t="s">
        <v>1448</v>
      </c>
      <c r="AF11" s="77" t="s">
        <v>1448</v>
      </c>
      <c r="AG11" s="77" t="s">
        <v>1448</v>
      </c>
      <c r="AH11" s="77" t="s">
        <v>1448</v>
      </c>
      <c r="AI11" s="77" t="s">
        <v>1448</v>
      </c>
      <c r="AJ11" s="77" t="s">
        <v>1448</v>
      </c>
      <c r="AK11" s="77" t="s">
        <v>1448</v>
      </c>
      <c r="AL11" s="77" t="s">
        <v>1448</v>
      </c>
      <c r="AM11" s="77" t="s">
        <v>1448</v>
      </c>
      <c r="AN11" s="77" t="s">
        <v>1448</v>
      </c>
      <c r="AO11" s="77" t="s">
        <v>1448</v>
      </c>
      <c r="AP11" s="77" t="s">
        <v>1448</v>
      </c>
      <c r="AQ11" s="77" t="s">
        <v>1448</v>
      </c>
      <c r="AR11" s="77" t="s">
        <v>1448</v>
      </c>
      <c r="AS11" s="77" t="s">
        <v>1448</v>
      </c>
      <c r="AT11" s="77" t="s">
        <v>1448</v>
      </c>
      <c r="AU11" s="77" t="s">
        <v>1448</v>
      </c>
      <c r="AV11" s="77" t="s">
        <v>1448</v>
      </c>
      <c r="AW11" s="77" t="s">
        <v>1448</v>
      </c>
      <c r="AX11" s="77" t="s">
        <v>1448</v>
      </c>
      <c r="AY11" s="77" t="s">
        <v>1448</v>
      </c>
      <c r="AZ11" s="77" t="s">
        <v>1448</v>
      </c>
      <c r="BA11" s="77" t="s">
        <v>1448</v>
      </c>
      <c r="BB11" s="77" t="s">
        <v>1448</v>
      </c>
      <c r="BC11" s="79" t="s">
        <v>1520</v>
      </c>
      <c r="BD11" s="79" t="s">
        <v>1521</v>
      </c>
      <c r="BO11" s="77" t="b">
        <v>0</v>
      </c>
      <c r="BT11" s="84">
        <v>0</v>
      </c>
      <c r="BU11" s="84">
        <v>0</v>
      </c>
      <c r="BV11" s="77" t="str">
        <f>A11 &amp; "-" &amp; TEXT(B11, "jj/mm/aaaa") &amp; "-" &amp; COUNTIF($A$2:A223, A11)</f>
        <v>FG912CT-21/02/2024-1</v>
      </c>
      <c r="BX11" s="77" t="str">
        <v>AJ565NR</v>
      </c>
    </row>
    <row r="12" spans="1:82" x14ac:dyDescent="0.2">
      <c r="A12" s="77" t="s">
        <v>1485</v>
      </c>
      <c r="B12" s="88" t="s">
        <v>1528</v>
      </c>
      <c r="C12" s="77" t="s">
        <v>1487</v>
      </c>
      <c r="D12" s="77" t="s">
        <v>957</v>
      </c>
      <c r="E12" s="77" t="b">
        <v>0</v>
      </c>
      <c r="F12" s="77" t="b">
        <v>0</v>
      </c>
      <c r="G12" s="77" t="b">
        <v>0</v>
      </c>
      <c r="H12" s="77" t="b">
        <v>0</v>
      </c>
      <c r="I12" s="77" t="s">
        <v>1488</v>
      </c>
      <c r="J12" s="77" t="s">
        <v>1484</v>
      </c>
      <c r="K12" s="77" t="s">
        <v>94</v>
      </c>
      <c r="L12" s="77" t="s">
        <v>105</v>
      </c>
      <c r="M12" s="77" t="s">
        <v>379</v>
      </c>
      <c r="N12" s="86">
        <v>212454</v>
      </c>
      <c r="P12" s="77" t="s">
        <v>1448</v>
      </c>
      <c r="Q12" s="77" t="s">
        <v>1448</v>
      </c>
      <c r="R12" s="77" t="s">
        <v>1449</v>
      </c>
      <c r="S12" s="77" t="s">
        <v>1448</v>
      </c>
      <c r="T12" s="77" t="s">
        <v>1448</v>
      </c>
      <c r="U12" s="77" t="s">
        <v>1448</v>
      </c>
      <c r="V12" s="77" t="s">
        <v>1448</v>
      </c>
      <c r="W12" s="77" t="s">
        <v>1449</v>
      </c>
      <c r="X12" s="77" t="s">
        <v>1448</v>
      </c>
      <c r="Y12" s="77" t="s">
        <v>1448</v>
      </c>
      <c r="Z12" s="77" t="s">
        <v>1449</v>
      </c>
      <c r="AA12" s="77" t="s">
        <v>1449</v>
      </c>
      <c r="AB12" s="77" t="s">
        <v>1448</v>
      </c>
      <c r="AC12" s="77" t="s">
        <v>1448</v>
      </c>
      <c r="AD12" s="77" t="s">
        <v>1448</v>
      </c>
      <c r="AE12" s="77" t="s">
        <v>1448</v>
      </c>
      <c r="AF12" s="77" t="s">
        <v>1448</v>
      </c>
      <c r="AG12" s="77" t="s">
        <v>1448</v>
      </c>
      <c r="AH12" s="77" t="s">
        <v>1448</v>
      </c>
      <c r="AI12" s="77" t="s">
        <v>1448</v>
      </c>
      <c r="AJ12" s="77" t="s">
        <v>1448</v>
      </c>
      <c r="AK12" s="77" t="s">
        <v>1448</v>
      </c>
      <c r="AL12" s="77" t="s">
        <v>1448</v>
      </c>
      <c r="AM12" s="77" t="s">
        <v>1448</v>
      </c>
      <c r="AN12" s="77" t="s">
        <v>1448</v>
      </c>
      <c r="AO12" s="77" t="s">
        <v>1448</v>
      </c>
      <c r="AP12" s="77" t="s">
        <v>1448</v>
      </c>
      <c r="AQ12" s="77" t="s">
        <v>1448</v>
      </c>
      <c r="AR12" s="77" t="s">
        <v>1448</v>
      </c>
      <c r="AS12" s="77" t="s">
        <v>1449</v>
      </c>
      <c r="AT12" s="77" t="s">
        <v>1448</v>
      </c>
      <c r="AU12" s="77" t="s">
        <v>1448</v>
      </c>
      <c r="AV12" s="77" t="s">
        <v>1448</v>
      </c>
      <c r="AW12" s="77" t="s">
        <v>1448</v>
      </c>
      <c r="AX12" s="77" t="s">
        <v>1448</v>
      </c>
      <c r="AY12" s="77" t="s">
        <v>1448</v>
      </c>
      <c r="AZ12" s="77" t="s">
        <v>1448</v>
      </c>
      <c r="BA12" s="77" t="s">
        <v>1448</v>
      </c>
      <c r="BB12" s="77" t="s">
        <v>1448</v>
      </c>
      <c r="BC12" s="79" t="s">
        <v>1529</v>
      </c>
      <c r="BD12" s="79" t="s">
        <v>1530</v>
      </c>
      <c r="BE12" s="79" t="s">
        <v>1531</v>
      </c>
      <c r="BO12" s="77" t="b">
        <v>0</v>
      </c>
      <c r="BT12" s="84">
        <v>0</v>
      </c>
      <c r="BU12" s="84">
        <v>0</v>
      </c>
      <c r="BV12" s="77" t="str">
        <f>A12 &amp; "-" &amp; TEXT(B12, "jj/mm/aaaa") &amp; "-" &amp; COUNTIF($A$2:A223, A12)</f>
        <v>BB312CG-21/02/2024-3</v>
      </c>
      <c r="BX12" s="77" t="str">
        <v>AJ748LG</v>
      </c>
    </row>
    <row r="13" spans="1:82" x14ac:dyDescent="0.2">
      <c r="A13" s="77" t="s">
        <v>80</v>
      </c>
      <c r="B13" s="88" t="s">
        <v>1532</v>
      </c>
      <c r="C13" s="77" t="s">
        <v>947</v>
      </c>
      <c r="D13" s="77" t="s">
        <v>957</v>
      </c>
      <c r="E13" s="77" t="b">
        <v>1</v>
      </c>
      <c r="F13" s="77" t="b">
        <v>0</v>
      </c>
      <c r="G13" s="77" t="b">
        <v>0</v>
      </c>
      <c r="H13" s="77" t="b">
        <v>0</v>
      </c>
      <c r="I13" s="77" t="s">
        <v>82</v>
      </c>
      <c r="J13" s="77">
        <v>39</v>
      </c>
      <c r="K13" s="77" t="s">
        <v>81</v>
      </c>
      <c r="L13" s="77" t="s">
        <v>83</v>
      </c>
      <c r="M13" s="77" t="s">
        <v>84</v>
      </c>
      <c r="BO13" s="77" t="b">
        <v>1</v>
      </c>
      <c r="BT13" s="84">
        <v>0</v>
      </c>
      <c r="BU13" s="84">
        <v>0</v>
      </c>
      <c r="BV13" s="77" t="str">
        <f>A13 &amp; "-" &amp; TEXT(B13, "jj/mm/aaaa") &amp; "-" &amp; COUNTIF($A$2:A223, A13)</f>
        <v>AA622QZ-22/02/2024-1</v>
      </c>
      <c r="BX13" s="77" t="str">
        <v>AK996AM</v>
      </c>
    </row>
    <row r="14" spans="1:82" x14ac:dyDescent="0.2">
      <c r="A14" s="77" t="s">
        <v>1544</v>
      </c>
      <c r="B14" s="88" t="s">
        <v>1548</v>
      </c>
      <c r="C14" s="77" t="s">
        <v>1545</v>
      </c>
      <c r="D14" s="77" t="s">
        <v>959</v>
      </c>
      <c r="E14" s="77" t="b">
        <v>0</v>
      </c>
      <c r="F14" s="77" t="b">
        <v>0</v>
      </c>
      <c r="G14" s="77" t="b">
        <v>0</v>
      </c>
      <c r="H14" s="77" t="b">
        <v>0</v>
      </c>
      <c r="I14" s="77" t="s">
        <v>94</v>
      </c>
      <c r="J14" s="77" t="s">
        <v>1153</v>
      </c>
      <c r="K14" s="77" t="s">
        <v>93</v>
      </c>
      <c r="L14" s="77" t="s">
        <v>73</v>
      </c>
      <c r="M14" s="77" t="s">
        <v>95</v>
      </c>
      <c r="N14" s="86">
        <v>214331</v>
      </c>
      <c r="O14" s="77" t="s">
        <v>1562</v>
      </c>
      <c r="P14" s="77" t="s">
        <v>1448</v>
      </c>
      <c r="Q14" s="77" t="s">
        <v>1448</v>
      </c>
      <c r="R14" s="77" t="s">
        <v>1448</v>
      </c>
      <c r="S14" s="77" t="s">
        <v>1449</v>
      </c>
      <c r="T14" s="77" t="s">
        <v>1448</v>
      </c>
      <c r="U14" s="77" t="s">
        <v>1448</v>
      </c>
      <c r="V14" s="77" t="s">
        <v>1449</v>
      </c>
      <c r="X14" s="77" t="s">
        <v>1448</v>
      </c>
      <c r="Y14" s="77" t="s">
        <v>1448</v>
      </c>
      <c r="Z14" s="77" t="s">
        <v>1449</v>
      </c>
      <c r="AA14" s="77" t="s">
        <v>1448</v>
      </c>
      <c r="AB14" s="77" t="s">
        <v>1448</v>
      </c>
      <c r="AC14" s="77" t="s">
        <v>1448</v>
      </c>
      <c r="AD14" s="77" t="s">
        <v>1448</v>
      </c>
      <c r="AE14" s="77" t="s">
        <v>1448</v>
      </c>
      <c r="AF14" s="77" t="s">
        <v>1448</v>
      </c>
      <c r="AG14" s="77" t="s">
        <v>1448</v>
      </c>
      <c r="AH14" s="77" t="s">
        <v>1449</v>
      </c>
      <c r="AI14" s="77" t="s">
        <v>1448</v>
      </c>
      <c r="AJ14" s="77" t="s">
        <v>1448</v>
      </c>
      <c r="AK14" s="77" t="s">
        <v>1448</v>
      </c>
      <c r="AL14" s="77" t="s">
        <v>1448</v>
      </c>
      <c r="AM14" s="77" t="s">
        <v>1448</v>
      </c>
      <c r="AN14" s="77" t="s">
        <v>1448</v>
      </c>
      <c r="AO14" s="77" t="s">
        <v>1448</v>
      </c>
      <c r="AP14" s="77" t="s">
        <v>1448</v>
      </c>
      <c r="AQ14" s="77" t="s">
        <v>1448</v>
      </c>
      <c r="AR14" s="77" t="s">
        <v>1448</v>
      </c>
      <c r="AS14" s="77" t="s">
        <v>1448</v>
      </c>
      <c r="AT14" s="77" t="s">
        <v>1448</v>
      </c>
      <c r="AU14" s="77" t="s">
        <v>1448</v>
      </c>
      <c r="AV14" s="77" t="s">
        <v>1448</v>
      </c>
      <c r="AW14" s="77" t="s">
        <v>1448</v>
      </c>
      <c r="AX14" s="77" t="s">
        <v>1448</v>
      </c>
      <c r="AY14" s="77" t="s">
        <v>1448</v>
      </c>
      <c r="AZ14" s="77" t="s">
        <v>1448</v>
      </c>
      <c r="BA14" s="77" t="s">
        <v>1448</v>
      </c>
      <c r="BB14" s="77" t="s">
        <v>1448</v>
      </c>
      <c r="BC14" s="79" t="s">
        <v>1549</v>
      </c>
      <c r="BO14" s="77" t="b">
        <v>0</v>
      </c>
      <c r="BT14" s="84">
        <v>0</v>
      </c>
      <c r="BU14" s="84">
        <v>0</v>
      </c>
      <c r="BV14" s="77" t="str">
        <f>A14 &amp; "-" &amp; TEXT(B14, "jj/mm/aaaa") &amp; "-" &amp; COUNTIF($A$2:A223, A14)</f>
        <v>DJ550TB-22/02/2024-2</v>
      </c>
      <c r="BX14" s="77" t="str">
        <v>AL348ZK</v>
      </c>
    </row>
    <row r="15" spans="1:82" x14ac:dyDescent="0.2">
      <c r="A15" s="77" t="s">
        <v>1550</v>
      </c>
      <c r="B15" s="88" t="s">
        <v>1556</v>
      </c>
      <c r="C15" s="77" t="s">
        <v>1551</v>
      </c>
      <c r="E15" s="77" t="b">
        <v>0</v>
      </c>
      <c r="F15" s="77" t="b">
        <v>0</v>
      </c>
      <c r="G15" s="77" t="b">
        <v>0</v>
      </c>
      <c r="H15" s="77" t="b">
        <v>0</v>
      </c>
      <c r="I15" s="77" t="s">
        <v>1555</v>
      </c>
      <c r="K15" s="77" t="s">
        <v>847</v>
      </c>
      <c r="L15" s="77" t="s">
        <v>399</v>
      </c>
      <c r="M15" s="77">
        <v>3</v>
      </c>
      <c r="N15" s="86">
        <v>331249</v>
      </c>
      <c r="BC15" s="79" t="s">
        <v>1557</v>
      </c>
      <c r="BD15" s="79" t="s">
        <v>1558</v>
      </c>
      <c r="BO15" s="77" t="b">
        <v>0</v>
      </c>
      <c r="BT15" s="84">
        <v>0</v>
      </c>
      <c r="BU15" s="84">
        <v>0</v>
      </c>
      <c r="BV15" s="77" t="str">
        <f>A15 &amp; "-" &amp; TEXT(B15, "jj/mm/aaaa") &amp; "-" &amp; COUNTIF($A$2:A223, A15)</f>
        <v>AD446EE-22/02/2024-1</v>
      </c>
      <c r="BX15" s="77" t="str">
        <v>AM775LV</v>
      </c>
    </row>
    <row r="16" spans="1:82" x14ac:dyDescent="0.2">
      <c r="A16" s="77" t="s">
        <v>452</v>
      </c>
      <c r="B16" s="88" t="s">
        <v>1559</v>
      </c>
      <c r="C16" s="77" t="s">
        <v>194</v>
      </c>
      <c r="E16" s="77" t="b">
        <v>0</v>
      </c>
      <c r="F16" s="77" t="b">
        <v>0</v>
      </c>
      <c r="G16" s="77" t="b">
        <v>0</v>
      </c>
      <c r="H16" s="77" t="b">
        <v>0</v>
      </c>
      <c r="I16" s="77">
        <v>11</v>
      </c>
      <c r="J16" s="77">
        <v>50</v>
      </c>
      <c r="K16" s="77">
        <v>24</v>
      </c>
      <c r="L16" s="77" t="s">
        <v>128</v>
      </c>
      <c r="M16" s="77" t="s">
        <v>453</v>
      </c>
      <c r="N16" s="86">
        <v>125672</v>
      </c>
      <c r="BC16" s="79" t="s">
        <v>1560</v>
      </c>
      <c r="BO16" s="77" t="b">
        <v>0</v>
      </c>
      <c r="BT16" s="84">
        <v>0</v>
      </c>
      <c r="BU16" s="84">
        <v>0</v>
      </c>
      <c r="BV16" s="77" t="str">
        <f>A16 &amp; "-" &amp; TEXT(B16, "jj/mm/aaaa") &amp; "-" &amp; COUNTIF($A$2:A223, A16)</f>
        <v>DV897TS-22/02/2024-2</v>
      </c>
      <c r="BX16" s="77" t="str">
        <v>AN383ZQ</v>
      </c>
    </row>
    <row r="17" spans="1:76" x14ac:dyDescent="0.2">
      <c r="A17" s="77" t="s">
        <v>1522</v>
      </c>
      <c r="B17" s="88" t="s">
        <v>1543</v>
      </c>
      <c r="C17" s="77" t="s">
        <v>1523</v>
      </c>
      <c r="D17" s="77" t="s">
        <v>959</v>
      </c>
      <c r="E17" s="77" t="b">
        <v>1</v>
      </c>
      <c r="F17" s="77" t="b">
        <v>0</v>
      </c>
      <c r="G17" s="77" t="b">
        <v>0</v>
      </c>
      <c r="H17" s="77" t="b">
        <v>0</v>
      </c>
      <c r="I17" s="77" t="s">
        <v>78</v>
      </c>
      <c r="J17" s="77" t="s">
        <v>1136</v>
      </c>
      <c r="K17" s="77" t="s">
        <v>1527</v>
      </c>
      <c r="L17" s="77" t="s">
        <v>128</v>
      </c>
      <c r="M17" s="77" t="s">
        <v>167</v>
      </c>
      <c r="N17" s="86">
        <v>92</v>
      </c>
      <c r="O17" s="77" t="s">
        <v>1563</v>
      </c>
      <c r="P17" s="77" t="s">
        <v>1450</v>
      </c>
      <c r="Q17" s="77" t="s">
        <v>1450</v>
      </c>
      <c r="R17" s="77" t="s">
        <v>1449</v>
      </c>
      <c r="S17" s="77" t="s">
        <v>1449</v>
      </c>
      <c r="T17" s="77" t="s">
        <v>1449</v>
      </c>
      <c r="U17" s="77" t="s">
        <v>1449</v>
      </c>
      <c r="V17" s="77" t="s">
        <v>1449</v>
      </c>
      <c r="W17" s="77" t="s">
        <v>1449</v>
      </c>
      <c r="X17" s="77" t="s">
        <v>1449</v>
      </c>
      <c r="Y17" s="77" t="s">
        <v>1449</v>
      </c>
      <c r="Z17" s="77" t="s">
        <v>1449</v>
      </c>
      <c r="AA17" s="77" t="s">
        <v>1449</v>
      </c>
      <c r="AB17" s="77" t="s">
        <v>1449</v>
      </c>
      <c r="AC17" s="77" t="s">
        <v>1448</v>
      </c>
      <c r="AD17" s="77" t="s">
        <v>1448</v>
      </c>
      <c r="AE17" s="77" t="s">
        <v>1448</v>
      </c>
      <c r="AF17" s="77" t="s">
        <v>1448</v>
      </c>
      <c r="AG17" s="77" t="s">
        <v>1448</v>
      </c>
      <c r="AH17" s="77" t="s">
        <v>1448</v>
      </c>
      <c r="AI17" s="77" t="s">
        <v>1448</v>
      </c>
      <c r="AJ17" s="77" t="s">
        <v>1448</v>
      </c>
      <c r="AK17" s="77" t="s">
        <v>1448</v>
      </c>
      <c r="AL17" s="77" t="s">
        <v>1448</v>
      </c>
      <c r="AM17" s="77" t="s">
        <v>1448</v>
      </c>
      <c r="AN17" s="77" t="s">
        <v>1448</v>
      </c>
      <c r="AO17" s="77" t="s">
        <v>1448</v>
      </c>
      <c r="AP17" s="77" t="s">
        <v>1449</v>
      </c>
      <c r="AQ17" s="77" t="s">
        <v>1449</v>
      </c>
      <c r="AR17" s="77" t="s">
        <v>1449</v>
      </c>
      <c r="AS17" s="77" t="s">
        <v>1449</v>
      </c>
      <c r="AT17" s="77" t="s">
        <v>1449</v>
      </c>
      <c r="AU17" s="77" t="s">
        <v>1449</v>
      </c>
      <c r="AV17" s="77" t="s">
        <v>1449</v>
      </c>
      <c r="AW17" s="77" t="s">
        <v>1449</v>
      </c>
      <c r="AX17" s="77" t="s">
        <v>1449</v>
      </c>
      <c r="AY17" s="77" t="s">
        <v>1449</v>
      </c>
      <c r="AZ17" s="77" t="s">
        <v>1449</v>
      </c>
      <c r="BA17" s="77" t="s">
        <v>1449</v>
      </c>
      <c r="BB17" s="77" t="s">
        <v>1450</v>
      </c>
      <c r="BC17" s="79" t="s">
        <v>1570</v>
      </c>
      <c r="BD17" s="79" t="s">
        <v>1571</v>
      </c>
      <c r="BE17" s="79" t="s">
        <v>1572</v>
      </c>
      <c r="BF17" s="79" t="s">
        <v>1573</v>
      </c>
      <c r="BG17" s="79" t="s">
        <v>1574</v>
      </c>
      <c r="BH17" s="79" t="s">
        <v>1575</v>
      </c>
      <c r="BI17" s="79" t="s">
        <v>1576</v>
      </c>
      <c r="BJ17" s="79" t="s">
        <v>1577</v>
      </c>
      <c r="BK17" s="79" t="s">
        <v>1578</v>
      </c>
      <c r="BL17" s="79" t="s">
        <v>1579</v>
      </c>
      <c r="BO17" s="77" t="b">
        <v>0</v>
      </c>
      <c r="BT17" s="84">
        <v>0</v>
      </c>
      <c r="BU17" s="84">
        <v>0</v>
      </c>
      <c r="BV17" s="77" t="str">
        <f>A17 &amp; "-" &amp; TEXT(B17, "jj/mm/aaaa") &amp; "-" &amp; COUNTIF($A$2:A223, A17)</f>
        <v>AK996AM-22/02/2024-1</v>
      </c>
      <c r="BX17" s="77" t="str">
        <v>AN585HN</v>
      </c>
    </row>
    <row r="18" spans="1:76" x14ac:dyDescent="0.2">
      <c r="A18" s="77" t="s">
        <v>283</v>
      </c>
      <c r="B18" s="88" t="s">
        <v>1564</v>
      </c>
      <c r="C18" s="77" t="s">
        <v>284</v>
      </c>
      <c r="D18" s="77" t="s">
        <v>959</v>
      </c>
      <c r="E18" s="77" t="b">
        <v>0</v>
      </c>
      <c r="F18" s="77" t="b">
        <v>0</v>
      </c>
      <c r="G18" s="77" t="b">
        <v>0</v>
      </c>
      <c r="H18" s="77" t="b">
        <v>0</v>
      </c>
      <c r="I18" s="77" t="s">
        <v>110</v>
      </c>
      <c r="J18" s="77">
        <v>42</v>
      </c>
      <c r="K18" s="77" t="s">
        <v>285</v>
      </c>
      <c r="L18" s="77" t="s">
        <v>111</v>
      </c>
      <c r="M18" s="77">
        <v>208</v>
      </c>
      <c r="BO18" s="77" t="b">
        <v>0</v>
      </c>
      <c r="BT18" s="84">
        <v>0</v>
      </c>
      <c r="BU18" s="84">
        <v>0</v>
      </c>
      <c r="BV18" s="77" t="str">
        <f>A18 &amp; "-" &amp; TEXT(B18, "jj/mm/aaaa") &amp; "-" &amp; COUNTIF($A$2:A223, A18)</f>
        <v>CP685NS-23/02/2024-2</v>
      </c>
      <c r="BX18" s="77" t="str">
        <v>AR644JW</v>
      </c>
    </row>
    <row r="19" spans="1:76" x14ac:dyDescent="0.2">
      <c r="A19" s="77" t="s">
        <v>1471</v>
      </c>
      <c r="B19" s="88" t="s">
        <v>1518</v>
      </c>
      <c r="C19" s="77" t="s">
        <v>1472</v>
      </c>
      <c r="D19" s="77" t="s">
        <v>959</v>
      </c>
      <c r="E19" s="77" t="b">
        <v>0</v>
      </c>
      <c r="F19" s="77" t="b">
        <v>1</v>
      </c>
      <c r="G19" s="77" t="b">
        <v>1</v>
      </c>
      <c r="H19" s="77" t="b">
        <v>1</v>
      </c>
      <c r="I19" s="77" t="s">
        <v>1136</v>
      </c>
      <c r="J19" s="77" t="s">
        <v>1474</v>
      </c>
      <c r="K19" s="77" t="s">
        <v>94</v>
      </c>
      <c r="L19" s="77" t="s">
        <v>128</v>
      </c>
      <c r="M19" s="77" t="s">
        <v>1473</v>
      </c>
      <c r="N19" s="86" t="s">
        <v>1565</v>
      </c>
      <c r="O19" s="83">
        <v>45962</v>
      </c>
      <c r="P19" s="77" t="s">
        <v>1450</v>
      </c>
      <c r="Q19" s="77" t="s">
        <v>1448</v>
      </c>
      <c r="R19" s="77" t="s">
        <v>1448</v>
      </c>
      <c r="S19" s="77" t="s">
        <v>1448</v>
      </c>
      <c r="T19" s="77" t="s">
        <v>1448</v>
      </c>
      <c r="U19" s="77" t="s">
        <v>1448</v>
      </c>
      <c r="V19" s="77" t="s">
        <v>1448</v>
      </c>
      <c r="W19" s="77" t="s">
        <v>1448</v>
      </c>
      <c r="X19" s="77" t="s">
        <v>1448</v>
      </c>
      <c r="Y19" s="77" t="s">
        <v>1448</v>
      </c>
      <c r="Z19" s="77" t="s">
        <v>1448</v>
      </c>
      <c r="AA19" s="77" t="s">
        <v>1448</v>
      </c>
      <c r="AB19" s="77" t="s">
        <v>1448</v>
      </c>
      <c r="AC19" s="77" t="s">
        <v>1448</v>
      </c>
      <c r="AD19" s="77" t="s">
        <v>1448</v>
      </c>
      <c r="AE19" s="77" t="s">
        <v>1449</v>
      </c>
      <c r="AF19" s="77" t="s">
        <v>1448</v>
      </c>
      <c r="AG19" s="77" t="s">
        <v>1448</v>
      </c>
      <c r="AH19" s="77" t="s">
        <v>1449</v>
      </c>
      <c r="AI19" s="77" t="s">
        <v>1448</v>
      </c>
      <c r="AJ19" s="77" t="s">
        <v>1448</v>
      </c>
      <c r="AK19" s="77" t="s">
        <v>1448</v>
      </c>
      <c r="AL19" s="77" t="s">
        <v>1448</v>
      </c>
      <c r="AM19" s="77" t="s">
        <v>1449</v>
      </c>
      <c r="AN19" s="77" t="s">
        <v>1448</v>
      </c>
      <c r="AO19" s="77" t="s">
        <v>1448</v>
      </c>
      <c r="AP19" s="77" t="s">
        <v>1448</v>
      </c>
      <c r="AQ19" s="77" t="s">
        <v>1448</v>
      </c>
      <c r="AR19" s="77" t="s">
        <v>1448</v>
      </c>
      <c r="AS19" s="77" t="s">
        <v>1449</v>
      </c>
      <c r="AT19" s="77" t="s">
        <v>1448</v>
      </c>
      <c r="AU19" s="77" t="s">
        <v>1448</v>
      </c>
      <c r="AV19" s="77" t="s">
        <v>1448</v>
      </c>
      <c r="AW19" s="77" t="s">
        <v>1448</v>
      </c>
      <c r="AX19" s="77" t="s">
        <v>1448</v>
      </c>
      <c r="AY19" s="77" t="s">
        <v>1448</v>
      </c>
      <c r="AZ19" s="77" t="s">
        <v>1448</v>
      </c>
      <c r="BA19" s="77" t="s">
        <v>1448</v>
      </c>
      <c r="BB19" s="77" t="s">
        <v>1448</v>
      </c>
      <c r="BC19" s="79" t="s">
        <v>1566</v>
      </c>
      <c r="BD19" s="79" t="s">
        <v>1567</v>
      </c>
      <c r="BE19" s="79" t="s">
        <v>1568</v>
      </c>
      <c r="BF19" s="79" t="s">
        <v>1569</v>
      </c>
      <c r="BM19" s="77">
        <v>1</v>
      </c>
      <c r="BN19" s="77" t="s">
        <v>1594</v>
      </c>
      <c r="BO19" s="77" t="b">
        <v>0</v>
      </c>
      <c r="BT19" s="84">
        <v>0</v>
      </c>
      <c r="BU19" s="84">
        <v>0</v>
      </c>
      <c r="BV19" s="77" t="str">
        <f>A19 &amp; "-" &amp; TEXT(B19, "jj/mm/aaaa") &amp; "-" &amp; COUNTIF($A$2:A223, A19)</f>
        <v>CC596HX-21/02/2024-4</v>
      </c>
      <c r="BX19" s="77" t="str">
        <v>AS065NW</v>
      </c>
    </row>
    <row r="20" spans="1:76" x14ac:dyDescent="0.2">
      <c r="A20" s="77" t="s">
        <v>1471</v>
      </c>
      <c r="B20" s="88" t="s">
        <v>1595</v>
      </c>
      <c r="C20" s="77" t="s">
        <v>1472</v>
      </c>
      <c r="D20" s="77" t="s">
        <v>958</v>
      </c>
      <c r="E20" s="77" t="b">
        <v>1</v>
      </c>
      <c r="F20" s="77" t="b">
        <v>1</v>
      </c>
      <c r="G20" s="77" t="b">
        <v>1</v>
      </c>
      <c r="H20" s="77" t="b">
        <v>1</v>
      </c>
      <c r="I20" s="77" t="s">
        <v>1136</v>
      </c>
      <c r="J20" s="77" t="s">
        <v>1474</v>
      </c>
      <c r="K20" s="77" t="s">
        <v>94</v>
      </c>
      <c r="L20" s="77" t="s">
        <v>128</v>
      </c>
      <c r="M20" s="77" t="s">
        <v>1473</v>
      </c>
      <c r="N20" s="86">
        <v>1</v>
      </c>
      <c r="O20" s="77">
        <v>2</v>
      </c>
      <c r="P20" s="77" t="s">
        <v>1448</v>
      </c>
      <c r="Q20" s="77" t="s">
        <v>1448</v>
      </c>
      <c r="R20" s="77" t="s">
        <v>1448</v>
      </c>
      <c r="S20" s="77" t="s">
        <v>1448</v>
      </c>
      <c r="T20" s="77" t="s">
        <v>1448</v>
      </c>
      <c r="U20" s="77" t="s">
        <v>1448</v>
      </c>
      <c r="V20" s="77" t="s">
        <v>1448</v>
      </c>
      <c r="W20" s="77" t="s">
        <v>1448</v>
      </c>
      <c r="X20" s="77" t="s">
        <v>1448</v>
      </c>
      <c r="Y20" s="77" t="s">
        <v>1448</v>
      </c>
      <c r="Z20" s="77" t="s">
        <v>1448</v>
      </c>
      <c r="AA20" s="77" t="s">
        <v>1448</v>
      </c>
      <c r="AB20" s="77" t="s">
        <v>1448</v>
      </c>
      <c r="AD20" s="77" t="s">
        <v>1450</v>
      </c>
      <c r="AE20" s="77" t="s">
        <v>1449</v>
      </c>
      <c r="AF20" s="77" t="s">
        <v>1449</v>
      </c>
      <c r="AG20" s="77" t="s">
        <v>1449</v>
      </c>
      <c r="AH20" s="77" t="s">
        <v>1449</v>
      </c>
      <c r="AI20" s="77" t="s">
        <v>1449</v>
      </c>
      <c r="AJ20" s="77" t="s">
        <v>1449</v>
      </c>
      <c r="AK20" s="77" t="s">
        <v>1449</v>
      </c>
      <c r="AL20" s="77" t="s">
        <v>1449</v>
      </c>
      <c r="AM20" s="77" t="s">
        <v>1449</v>
      </c>
      <c r="AN20" s="77" t="s">
        <v>1449</v>
      </c>
      <c r="AO20" s="77" t="s">
        <v>1449</v>
      </c>
      <c r="AP20" s="77" t="s">
        <v>1450</v>
      </c>
      <c r="AQ20" s="77" t="s">
        <v>1450</v>
      </c>
      <c r="AR20" s="77" t="s">
        <v>1450</v>
      </c>
      <c r="AS20" s="77" t="s">
        <v>1450</v>
      </c>
      <c r="AT20" s="77" t="s">
        <v>1450</v>
      </c>
      <c r="AU20" s="77" t="s">
        <v>1450</v>
      </c>
      <c r="AV20" s="77" t="s">
        <v>1450</v>
      </c>
      <c r="AW20" s="77" t="s">
        <v>1450</v>
      </c>
      <c r="AX20" s="77" t="s">
        <v>1450</v>
      </c>
      <c r="AY20" s="77" t="s">
        <v>1450</v>
      </c>
      <c r="AZ20" s="77" t="s">
        <v>1450</v>
      </c>
      <c r="BA20" s="77" t="s">
        <v>1450</v>
      </c>
      <c r="BB20" s="77" t="s">
        <v>1450</v>
      </c>
      <c r="BC20" s="79" t="s">
        <v>1596</v>
      </c>
      <c r="BD20" s="79" t="s">
        <v>1597</v>
      </c>
      <c r="BE20" s="79" t="s">
        <v>1580</v>
      </c>
      <c r="BF20" s="79" t="s">
        <v>1598</v>
      </c>
      <c r="BG20" s="79" t="s">
        <v>1599</v>
      </c>
      <c r="BH20" s="79" t="s">
        <v>1600</v>
      </c>
      <c r="BI20" s="79" t="s">
        <v>1601</v>
      </c>
      <c r="BJ20" s="79" t="s">
        <v>1602</v>
      </c>
      <c r="BK20" s="79" t="s">
        <v>1603</v>
      </c>
      <c r="BL20" s="79" t="s">
        <v>1604</v>
      </c>
      <c r="BO20" s="77" t="b">
        <v>1</v>
      </c>
      <c r="BT20" s="84">
        <v>0</v>
      </c>
      <c r="BU20" s="84">
        <v>0</v>
      </c>
      <c r="BV20" s="77" t="str">
        <f>A20 &amp; "-" &amp; TEXT(B20, "jj/mm/aaaa") &amp; "-" &amp; COUNTIF($A$2:A223, A20)</f>
        <v>CC596HX-24/02/2024-4</v>
      </c>
      <c r="BX20" s="77" t="str">
        <v>AS725FX</v>
      </c>
    </row>
    <row r="21" spans="1:76" x14ac:dyDescent="0.2">
      <c r="A21" s="77" t="s">
        <v>1605</v>
      </c>
      <c r="B21" s="88" t="s">
        <v>1612</v>
      </c>
      <c r="C21" s="77" t="s">
        <v>1606</v>
      </c>
      <c r="E21" s="77" t="b">
        <v>0</v>
      </c>
      <c r="F21" s="77" t="b">
        <v>0</v>
      </c>
      <c r="G21" s="77" t="b">
        <v>0</v>
      </c>
      <c r="H21" s="77" t="b">
        <v>0</v>
      </c>
      <c r="I21" s="77" t="s">
        <v>94</v>
      </c>
      <c r="J21" s="77" t="s">
        <v>1611</v>
      </c>
      <c r="K21" s="77" t="s">
        <v>204</v>
      </c>
      <c r="L21" s="77" t="s">
        <v>128</v>
      </c>
      <c r="M21" s="77" t="s">
        <v>129</v>
      </c>
      <c r="BC21" s="79" t="s">
        <v>1613</v>
      </c>
      <c r="BO21" s="77" t="b">
        <v>0</v>
      </c>
      <c r="BT21" s="84">
        <v>0</v>
      </c>
      <c r="BU21" s="84">
        <v>0</v>
      </c>
      <c r="BV21" s="77" t="str">
        <f>A21 &amp; "-" &amp; TEXT(B21, "jj/mm/aaaa") &amp; "-" &amp; COUNTIF($A$2:A223, A21)</f>
        <v>CQ662QT-26/02/2024-1</v>
      </c>
      <c r="BX21" s="77" t="str">
        <v>AW422GJ</v>
      </c>
    </row>
    <row r="22" spans="1:76" x14ac:dyDescent="0.2">
      <c r="A22" s="77" t="s">
        <v>1614</v>
      </c>
      <c r="B22" s="88" t="s">
        <v>1621</v>
      </c>
      <c r="C22" s="77" t="s">
        <v>1615</v>
      </c>
      <c r="D22" s="77" t="s">
        <v>957</v>
      </c>
      <c r="E22" s="77" t="b">
        <v>0</v>
      </c>
      <c r="F22" s="77" t="b">
        <v>0</v>
      </c>
      <c r="G22" s="77" t="b">
        <v>0</v>
      </c>
      <c r="H22" s="77" t="b">
        <v>0</v>
      </c>
      <c r="I22" s="77" t="s">
        <v>296</v>
      </c>
      <c r="J22" s="77" t="s">
        <v>1136</v>
      </c>
      <c r="K22" s="77" t="s">
        <v>1620</v>
      </c>
      <c r="L22" s="77" t="s">
        <v>173</v>
      </c>
      <c r="M22" s="77" t="s">
        <v>504</v>
      </c>
      <c r="BC22" s="79" t="s">
        <v>1622</v>
      </c>
      <c r="BD22" s="79" t="s">
        <v>1623</v>
      </c>
      <c r="BE22" s="79" t="s">
        <v>1624</v>
      </c>
      <c r="BF22" s="79" t="s">
        <v>1625</v>
      </c>
      <c r="BG22" s="79" t="s">
        <v>1626</v>
      </c>
      <c r="BO22" s="77" t="b">
        <v>0</v>
      </c>
      <c r="BT22" s="84">
        <v>0</v>
      </c>
      <c r="BU22" s="84">
        <v>0</v>
      </c>
      <c r="BV22" s="77" t="str">
        <f>A22 &amp; "-" &amp; TEXT(B22, "jj/mm/aaaa") &amp; "-" &amp; COUNTIF($A$2:A223, A22)</f>
        <v>BB447XL-26/02/2024-1</v>
      </c>
      <c r="BX22" s="77" t="str">
        <v>AX402VL</v>
      </c>
    </row>
    <row r="23" spans="1:76" x14ac:dyDescent="0.2">
      <c r="A23" s="77" t="s">
        <v>1627</v>
      </c>
      <c r="B23" s="88" t="s">
        <v>1633</v>
      </c>
      <c r="C23" s="77" t="s">
        <v>1628</v>
      </c>
      <c r="D23" s="77" t="s">
        <v>958</v>
      </c>
      <c r="E23" s="77" t="b">
        <v>0</v>
      </c>
      <c r="F23" s="77" t="b">
        <v>0</v>
      </c>
      <c r="G23" s="77" t="b">
        <v>0</v>
      </c>
      <c r="H23" s="77" t="b">
        <v>0</v>
      </c>
      <c r="I23" s="77" t="s">
        <v>238</v>
      </c>
      <c r="K23" s="77" t="s">
        <v>364</v>
      </c>
      <c r="L23" s="77" t="s">
        <v>139</v>
      </c>
      <c r="M23" s="77" t="s">
        <v>239</v>
      </c>
      <c r="N23" s="86">
        <v>112364</v>
      </c>
      <c r="BC23" s="79" t="s">
        <v>1634</v>
      </c>
      <c r="BD23" s="79" t="s">
        <v>1635</v>
      </c>
      <c r="BO23" s="77" t="b">
        <v>0</v>
      </c>
      <c r="BT23" s="84">
        <v>0</v>
      </c>
      <c r="BU23" s="84">
        <v>0</v>
      </c>
      <c r="BV23" s="77" t="str">
        <f>A23 &amp; "-" &amp; TEXT(B23, "jj/mm/aaaa") &amp; "-" &amp; COUNTIF($A$2:A223, A23)</f>
        <v>FJ441QK-27/02/2024-2</v>
      </c>
      <c r="BX23" s="77" t="str">
        <v>AY019ZT</v>
      </c>
    </row>
    <row r="24" spans="1:76" x14ac:dyDescent="0.2">
      <c r="A24" s="77" t="s">
        <v>1636</v>
      </c>
      <c r="B24" s="88" t="s">
        <v>1641</v>
      </c>
      <c r="C24" s="77" t="s">
        <v>172</v>
      </c>
      <c r="D24" s="77" t="s">
        <v>959</v>
      </c>
      <c r="E24" s="77" t="b">
        <v>1</v>
      </c>
      <c r="F24" s="77" t="b">
        <v>1</v>
      </c>
      <c r="G24" s="77" t="b">
        <v>1</v>
      </c>
      <c r="H24" s="77" t="b">
        <v>1</v>
      </c>
      <c r="I24" s="77" t="s">
        <v>94</v>
      </c>
      <c r="J24" s="77" t="s">
        <v>1470</v>
      </c>
      <c r="K24" s="77" t="s">
        <v>1640</v>
      </c>
      <c r="L24" s="77" t="s">
        <v>120</v>
      </c>
      <c r="M24" s="77" t="s">
        <v>379</v>
      </c>
      <c r="N24" s="86">
        <v>109530</v>
      </c>
      <c r="O24" s="83">
        <v>46058</v>
      </c>
      <c r="P24" s="77" t="s">
        <v>1448</v>
      </c>
      <c r="Q24" s="77" t="s">
        <v>1448</v>
      </c>
      <c r="R24" s="77" t="s">
        <v>1448</v>
      </c>
      <c r="S24" s="77" t="s">
        <v>1448</v>
      </c>
      <c r="T24" s="77" t="s">
        <v>1448</v>
      </c>
      <c r="U24" s="77" t="s">
        <v>1448</v>
      </c>
      <c r="V24" s="77" t="s">
        <v>1448</v>
      </c>
      <c r="W24" s="77" t="s">
        <v>1448</v>
      </c>
      <c r="X24" s="77" t="s">
        <v>1448</v>
      </c>
      <c r="Y24" s="77" t="s">
        <v>1448</v>
      </c>
      <c r="Z24" s="77" t="s">
        <v>1448</v>
      </c>
      <c r="AA24" s="77" t="s">
        <v>1448</v>
      </c>
      <c r="AB24" s="77" t="s">
        <v>1448</v>
      </c>
      <c r="AC24" s="77" t="s">
        <v>1448</v>
      </c>
      <c r="AD24" s="77" t="s">
        <v>1448</v>
      </c>
      <c r="AE24" s="77" t="s">
        <v>1448</v>
      </c>
      <c r="AF24" s="77" t="s">
        <v>1448</v>
      </c>
      <c r="AG24" s="77" t="s">
        <v>1448</v>
      </c>
      <c r="AH24" s="77" t="s">
        <v>1448</v>
      </c>
      <c r="AI24" s="77" t="s">
        <v>1448</v>
      </c>
      <c r="AJ24" s="77" t="s">
        <v>1448</v>
      </c>
      <c r="AK24" s="77" t="s">
        <v>1448</v>
      </c>
      <c r="AL24" s="77" t="s">
        <v>1448</v>
      </c>
      <c r="AM24" s="77" t="s">
        <v>1448</v>
      </c>
      <c r="AN24" s="77" t="s">
        <v>1448</v>
      </c>
      <c r="AO24" s="77" t="s">
        <v>1448</v>
      </c>
      <c r="AP24" s="77" t="s">
        <v>1448</v>
      </c>
      <c r="AQ24" s="77" t="s">
        <v>1448</v>
      </c>
      <c r="AR24" s="77" t="s">
        <v>1448</v>
      </c>
      <c r="AS24" s="77" t="s">
        <v>1448</v>
      </c>
      <c r="AT24" s="77" t="s">
        <v>1448</v>
      </c>
      <c r="AU24" s="77" t="s">
        <v>1448</v>
      </c>
      <c r="AV24" s="77" t="s">
        <v>1448</v>
      </c>
      <c r="AW24" s="77" t="s">
        <v>1448</v>
      </c>
      <c r="AX24" s="77" t="s">
        <v>1448</v>
      </c>
      <c r="AY24" s="77" t="s">
        <v>1448</v>
      </c>
      <c r="AZ24" s="77" t="s">
        <v>1448</v>
      </c>
      <c r="BA24" s="77" t="s">
        <v>1448</v>
      </c>
      <c r="BB24" s="77" t="s">
        <v>1448</v>
      </c>
      <c r="BC24" s="79" t="s">
        <v>1642</v>
      </c>
      <c r="BO24" s="77" t="b">
        <v>0</v>
      </c>
      <c r="BT24" s="84">
        <v>0</v>
      </c>
      <c r="BU24" s="84">
        <v>0</v>
      </c>
      <c r="BV24" s="77" t="str">
        <f>A24 &amp; "-" &amp; TEXT(B24, "jj/mm/aaaa") &amp; "-" &amp; COUNTIF($A$2:A223, A24)</f>
        <v>DK896XE-27/02/2024-1</v>
      </c>
      <c r="BX24" s="77" t="str">
        <v>BA016LZ</v>
      </c>
    </row>
    <row r="25" spans="1:76" x14ac:dyDescent="0.2">
      <c r="A25" s="77" t="s">
        <v>1643</v>
      </c>
      <c r="B25" s="88" t="s">
        <v>1648</v>
      </c>
      <c r="C25" s="77" t="s">
        <v>1523</v>
      </c>
      <c r="D25" s="77" t="s">
        <v>959</v>
      </c>
      <c r="E25" s="77" t="b">
        <v>1</v>
      </c>
      <c r="F25" s="77" t="b">
        <v>1</v>
      </c>
      <c r="G25" s="77" t="b">
        <v>1</v>
      </c>
      <c r="H25" s="77" t="b">
        <v>1</v>
      </c>
      <c r="I25" s="77" t="s">
        <v>1647</v>
      </c>
      <c r="J25" s="77" t="s">
        <v>1136</v>
      </c>
      <c r="K25" s="77" t="s">
        <v>1527</v>
      </c>
      <c r="L25" s="77" t="s">
        <v>128</v>
      </c>
      <c r="M25" s="77" t="s">
        <v>1644</v>
      </c>
      <c r="N25" s="86">
        <v>250719</v>
      </c>
      <c r="O25" s="83">
        <v>45485</v>
      </c>
      <c r="P25" s="77" t="s">
        <v>1448</v>
      </c>
      <c r="Q25" s="77" t="s">
        <v>1448</v>
      </c>
      <c r="R25" s="77" t="s">
        <v>1448</v>
      </c>
      <c r="S25" s="77" t="s">
        <v>1448</v>
      </c>
      <c r="T25" s="77" t="s">
        <v>1448</v>
      </c>
      <c r="U25" s="77" t="s">
        <v>1448</v>
      </c>
      <c r="V25" s="77" t="s">
        <v>1449</v>
      </c>
      <c r="W25" s="77" t="s">
        <v>1448</v>
      </c>
      <c r="X25" s="77" t="s">
        <v>1448</v>
      </c>
      <c r="Y25" s="77" t="s">
        <v>1449</v>
      </c>
      <c r="Z25" s="77" t="s">
        <v>1449</v>
      </c>
      <c r="AA25" s="77" t="s">
        <v>1449</v>
      </c>
      <c r="AB25" s="77" t="s">
        <v>1448</v>
      </c>
      <c r="AC25" s="77" t="s">
        <v>1448</v>
      </c>
      <c r="AD25" s="77" t="s">
        <v>1448</v>
      </c>
      <c r="AE25" s="77" t="s">
        <v>1449</v>
      </c>
      <c r="AF25" s="77" t="s">
        <v>1448</v>
      </c>
      <c r="AG25" s="77" t="s">
        <v>1449</v>
      </c>
      <c r="AH25" s="77" t="s">
        <v>1448</v>
      </c>
      <c r="AI25" s="77" t="s">
        <v>1448</v>
      </c>
      <c r="AJ25" s="77" t="s">
        <v>1448</v>
      </c>
      <c r="AK25" s="77" t="s">
        <v>1448</v>
      </c>
      <c r="AL25" s="77" t="s">
        <v>1449</v>
      </c>
      <c r="AM25" s="77" t="s">
        <v>1449</v>
      </c>
      <c r="AN25" s="77" t="s">
        <v>1448</v>
      </c>
      <c r="AO25" s="77" t="s">
        <v>1449</v>
      </c>
      <c r="AP25" s="77" t="s">
        <v>1448</v>
      </c>
      <c r="AQ25" s="77" t="s">
        <v>1448</v>
      </c>
      <c r="AR25" s="77" t="s">
        <v>1449</v>
      </c>
      <c r="AS25" s="77" t="s">
        <v>1448</v>
      </c>
      <c r="AT25" s="77" t="s">
        <v>1448</v>
      </c>
      <c r="AU25" s="77" t="s">
        <v>1448</v>
      </c>
      <c r="AV25" s="77" t="s">
        <v>1448</v>
      </c>
      <c r="AW25" s="77" t="s">
        <v>1448</v>
      </c>
      <c r="AX25" s="77" t="s">
        <v>1448</v>
      </c>
      <c r="AY25" s="77" t="s">
        <v>1448</v>
      </c>
      <c r="AZ25" s="77" t="s">
        <v>1448</v>
      </c>
      <c r="BA25" s="77" t="s">
        <v>1449</v>
      </c>
      <c r="BB25" s="77" t="s">
        <v>1448</v>
      </c>
      <c r="BC25" s="79" t="s">
        <v>1653</v>
      </c>
      <c r="BD25" s="79" t="s">
        <v>1654</v>
      </c>
      <c r="BE25" s="79" t="s">
        <v>1655</v>
      </c>
      <c r="BF25" s="79" t="s">
        <v>1656</v>
      </c>
      <c r="BG25" s="79" t="s">
        <v>1657</v>
      </c>
      <c r="BH25" s="79" t="s">
        <v>1658</v>
      </c>
      <c r="BI25" s="79" t="s">
        <v>1659</v>
      </c>
      <c r="BO25" s="77" t="b">
        <v>0</v>
      </c>
      <c r="BT25" s="84">
        <v>0</v>
      </c>
      <c r="BU25" s="84">
        <v>0</v>
      </c>
      <c r="BV25" s="77" t="str">
        <f>A25 &amp; "-" &amp; TEXT(B25, "jj/mm/aaaa") &amp; "-" &amp; COUNTIF($A$2:A223, A25)</f>
        <v>BV959ND-27/02/2024-1</v>
      </c>
      <c r="BX25" s="77" t="str">
        <v>BA452FT</v>
      </c>
    </row>
    <row r="26" spans="1:76" x14ac:dyDescent="0.2">
      <c r="A26" s="77" t="s">
        <v>1627</v>
      </c>
      <c r="B26" s="88" t="s">
        <v>1649</v>
      </c>
      <c r="C26" s="77" t="s">
        <v>1628</v>
      </c>
      <c r="D26" s="77" t="s">
        <v>958</v>
      </c>
      <c r="E26" s="77" t="b">
        <v>0</v>
      </c>
      <c r="F26" s="77" t="b">
        <v>0</v>
      </c>
      <c r="G26" s="77" t="b">
        <v>0</v>
      </c>
      <c r="H26" s="77" t="b">
        <v>0</v>
      </c>
      <c r="I26" s="77" t="s">
        <v>238</v>
      </c>
      <c r="K26" s="77" t="s">
        <v>364</v>
      </c>
      <c r="L26" s="77" t="s">
        <v>139</v>
      </c>
      <c r="M26" s="77" t="s">
        <v>239</v>
      </c>
      <c r="N26" s="86">
        <v>112364</v>
      </c>
      <c r="O26" s="77" t="s">
        <v>1650</v>
      </c>
      <c r="P26" s="77" t="s">
        <v>1449</v>
      </c>
      <c r="Q26" s="77" t="s">
        <v>1448</v>
      </c>
      <c r="R26" s="77" t="s">
        <v>1448</v>
      </c>
      <c r="S26" s="77" t="s">
        <v>1448</v>
      </c>
      <c r="T26" s="77" t="s">
        <v>1448</v>
      </c>
      <c r="U26" s="77" t="s">
        <v>1448</v>
      </c>
      <c r="V26" s="77" t="s">
        <v>1449</v>
      </c>
      <c r="W26" s="77" t="s">
        <v>1448</v>
      </c>
      <c r="X26" s="77" t="s">
        <v>1448</v>
      </c>
      <c r="Y26" s="77" t="s">
        <v>1448</v>
      </c>
      <c r="Z26" s="77" t="s">
        <v>1448</v>
      </c>
      <c r="AA26" s="77" t="s">
        <v>1448</v>
      </c>
      <c r="AB26" s="77" t="s">
        <v>1448</v>
      </c>
      <c r="AC26" s="77" t="s">
        <v>1448</v>
      </c>
      <c r="AD26" s="77" t="s">
        <v>1448</v>
      </c>
      <c r="AE26" s="77" t="s">
        <v>1448</v>
      </c>
      <c r="AF26" s="77" t="s">
        <v>1448</v>
      </c>
      <c r="AG26" s="77" t="s">
        <v>1448</v>
      </c>
      <c r="AH26" s="77" t="s">
        <v>1448</v>
      </c>
      <c r="AI26" s="77" t="s">
        <v>1448</v>
      </c>
      <c r="AJ26" s="77" t="s">
        <v>1448</v>
      </c>
      <c r="AK26" s="77" t="s">
        <v>1448</v>
      </c>
      <c r="AL26" s="77" t="s">
        <v>1448</v>
      </c>
      <c r="AM26" s="77" t="s">
        <v>1448</v>
      </c>
      <c r="AN26" s="77" t="s">
        <v>1448</v>
      </c>
      <c r="AO26" s="77" t="s">
        <v>1448</v>
      </c>
      <c r="AP26" s="77" t="s">
        <v>1448</v>
      </c>
      <c r="AQ26" s="77" t="s">
        <v>1448</v>
      </c>
      <c r="AR26" s="77" t="s">
        <v>1448</v>
      </c>
      <c r="AS26" s="77" t="s">
        <v>1448</v>
      </c>
      <c r="AT26" s="77" t="s">
        <v>1448</v>
      </c>
      <c r="AU26" s="77" t="s">
        <v>1448</v>
      </c>
      <c r="AV26" s="77" t="s">
        <v>1448</v>
      </c>
      <c r="AW26" s="77" t="s">
        <v>1448</v>
      </c>
      <c r="AX26" s="77" t="s">
        <v>1448</v>
      </c>
      <c r="AY26" s="77" t="s">
        <v>1448</v>
      </c>
      <c r="AZ26" s="77" t="s">
        <v>1448</v>
      </c>
      <c r="BA26" s="77" t="s">
        <v>1448</v>
      </c>
      <c r="BB26" s="77" t="s">
        <v>1448</v>
      </c>
      <c r="BC26" s="79" t="s">
        <v>1651</v>
      </c>
      <c r="BO26" s="77" t="b">
        <v>0</v>
      </c>
      <c r="BT26" s="84">
        <v>0</v>
      </c>
      <c r="BU26" s="84">
        <v>0</v>
      </c>
      <c r="BV26" s="77" t="str">
        <f>A26 &amp; "-" &amp; TEXT(B26, "jj/mm/aaaa") &amp; "-" &amp; COUNTIF($A$2:A223, A26)</f>
        <v>FJ441QK-27/02/2024-2</v>
      </c>
      <c r="BX26" s="77" t="str">
        <v>BB312CG</v>
      </c>
    </row>
    <row r="27" spans="1:76" x14ac:dyDescent="0.2">
      <c r="A27" s="77" t="s">
        <v>505</v>
      </c>
      <c r="B27" s="88" t="s">
        <v>1660</v>
      </c>
      <c r="C27" s="77" t="s">
        <v>506</v>
      </c>
      <c r="D27" s="77" t="s">
        <v>959</v>
      </c>
      <c r="E27" s="77" t="b">
        <v>1</v>
      </c>
      <c r="F27" s="77" t="b">
        <v>0</v>
      </c>
      <c r="G27" s="77" t="b">
        <v>0</v>
      </c>
      <c r="H27" s="77" t="b">
        <v>0</v>
      </c>
      <c r="I27" s="77" t="s">
        <v>158</v>
      </c>
      <c r="K27" s="77" t="s">
        <v>114</v>
      </c>
      <c r="L27" s="77" t="s">
        <v>128</v>
      </c>
      <c r="M27" s="77" t="s">
        <v>453</v>
      </c>
      <c r="N27" s="86" t="s">
        <v>1689</v>
      </c>
      <c r="Q27" s="77" t="s">
        <v>1448</v>
      </c>
      <c r="R27" s="77" t="s">
        <v>1448</v>
      </c>
      <c r="S27" s="77" t="s">
        <v>1448</v>
      </c>
      <c r="T27" s="77" t="s">
        <v>1448</v>
      </c>
      <c r="U27" s="77" t="s">
        <v>1448</v>
      </c>
      <c r="V27" s="77" t="s">
        <v>1448</v>
      </c>
      <c r="W27" s="77" t="s">
        <v>1448</v>
      </c>
      <c r="X27" s="77" t="s">
        <v>1448</v>
      </c>
      <c r="Y27" s="77" t="s">
        <v>1448</v>
      </c>
      <c r="Z27" s="77" t="s">
        <v>1448</v>
      </c>
      <c r="AA27" s="77" t="s">
        <v>1448</v>
      </c>
      <c r="AB27" s="77" t="s">
        <v>1448</v>
      </c>
      <c r="AC27" s="77" t="s">
        <v>1448</v>
      </c>
      <c r="AD27" s="77" t="s">
        <v>1448</v>
      </c>
      <c r="AE27" s="77" t="s">
        <v>1448</v>
      </c>
      <c r="AF27" s="77" t="s">
        <v>1448</v>
      </c>
      <c r="AG27" s="77" t="s">
        <v>1448</v>
      </c>
      <c r="AH27" s="77" t="s">
        <v>1448</v>
      </c>
      <c r="AI27" s="77" t="s">
        <v>1448</v>
      </c>
      <c r="AJ27" s="77" t="s">
        <v>1448</v>
      </c>
      <c r="AK27" s="77" t="s">
        <v>1448</v>
      </c>
      <c r="AL27" s="77" t="s">
        <v>1448</v>
      </c>
      <c r="AM27" s="77" t="s">
        <v>1448</v>
      </c>
      <c r="AN27" s="77" t="s">
        <v>1448</v>
      </c>
      <c r="AO27" s="77" t="s">
        <v>1448</v>
      </c>
      <c r="AP27" s="77" t="s">
        <v>1448</v>
      </c>
      <c r="AQ27" s="77" t="s">
        <v>1448</v>
      </c>
      <c r="AR27" s="77" t="s">
        <v>1448</v>
      </c>
      <c r="AS27" s="77" t="s">
        <v>1448</v>
      </c>
      <c r="AT27" s="77" t="s">
        <v>1448</v>
      </c>
      <c r="AU27" s="77" t="s">
        <v>1448</v>
      </c>
      <c r="AV27" s="77" t="s">
        <v>1448</v>
      </c>
      <c r="AW27" s="77" t="s">
        <v>1448</v>
      </c>
      <c r="AX27" s="77" t="s">
        <v>1448</v>
      </c>
      <c r="AY27" s="77" t="s">
        <v>1448</v>
      </c>
      <c r="AZ27" s="77" t="s">
        <v>1448</v>
      </c>
      <c r="BA27" s="77" t="s">
        <v>1448</v>
      </c>
      <c r="BB27" s="77" t="s">
        <v>1448</v>
      </c>
      <c r="BC27" s="79" t="s">
        <v>1690</v>
      </c>
      <c r="BO27" s="77" t="b">
        <v>0</v>
      </c>
      <c r="BT27" s="84">
        <v>0</v>
      </c>
      <c r="BU27" s="84">
        <v>0</v>
      </c>
      <c r="BV27" s="77" t="str">
        <f>A27 &amp; "-" &amp; TEXT(B27, "jj/mm/aaaa") &amp; "-" &amp; COUNTIF($A$2:A223, A27)</f>
        <v>EC691LY-28/02/2024-1</v>
      </c>
      <c r="BX27" s="77" t="str">
        <v>BB447XL</v>
      </c>
    </row>
    <row r="28" spans="1:76" x14ac:dyDescent="0.2">
      <c r="A28" s="77" t="s">
        <v>1544</v>
      </c>
      <c r="B28" s="88" t="s">
        <v>1661</v>
      </c>
      <c r="C28" s="77" t="s">
        <v>1545</v>
      </c>
      <c r="E28" s="77" t="b">
        <v>1</v>
      </c>
      <c r="F28" s="77" t="b">
        <v>0</v>
      </c>
      <c r="G28" s="77" t="b">
        <v>0</v>
      </c>
      <c r="H28" s="77" t="b">
        <v>0</v>
      </c>
      <c r="I28" s="77" t="s">
        <v>1153</v>
      </c>
      <c r="J28" s="77" t="s">
        <v>93</v>
      </c>
      <c r="K28" s="77" t="s">
        <v>94</v>
      </c>
      <c r="L28" s="77" t="s">
        <v>73</v>
      </c>
      <c r="M28" s="77" t="s">
        <v>95</v>
      </c>
      <c r="BO28" s="77" t="b">
        <v>0</v>
      </c>
      <c r="BT28" s="84">
        <v>0</v>
      </c>
      <c r="BU28" s="84">
        <v>0</v>
      </c>
      <c r="BV28" s="77" t="str">
        <f>A28 &amp; "-" &amp; TEXT(B28, "jj/mm/aaaa") &amp; "-" &amp; COUNTIF($A$2:A223, A28)</f>
        <v>DJ550TB-28/02/2024-2</v>
      </c>
      <c r="BX28" s="77" t="str">
        <v>BE248LG</v>
      </c>
    </row>
    <row r="29" spans="1:76" x14ac:dyDescent="0.2">
      <c r="A29" s="77" t="s">
        <v>1662</v>
      </c>
      <c r="B29" s="88" t="s">
        <v>1668</v>
      </c>
      <c r="C29" s="77" t="s">
        <v>1663</v>
      </c>
      <c r="D29" s="77" t="s">
        <v>957</v>
      </c>
      <c r="E29" s="77" t="b">
        <v>0</v>
      </c>
      <c r="F29" s="77" t="b">
        <v>0</v>
      </c>
      <c r="G29" s="77" t="b">
        <v>0</v>
      </c>
      <c r="H29" s="77" t="b">
        <v>0</v>
      </c>
      <c r="I29" s="77" t="s">
        <v>94</v>
      </c>
      <c r="J29" s="77" t="s">
        <v>1484</v>
      </c>
      <c r="K29" s="77" t="s">
        <v>1667</v>
      </c>
      <c r="L29" s="77" t="s">
        <v>228</v>
      </c>
      <c r="M29" s="77" t="s">
        <v>1480</v>
      </c>
      <c r="BC29" s="79" t="s">
        <v>1669</v>
      </c>
      <c r="BD29" s="79" t="s">
        <v>1670</v>
      </c>
      <c r="BO29" s="77" t="b">
        <v>0</v>
      </c>
      <c r="BT29" s="84">
        <v>0</v>
      </c>
      <c r="BU29" s="84">
        <v>0</v>
      </c>
      <c r="BV29" s="77" t="str">
        <f>A29 &amp; "-" &amp; TEXT(B29, "jj/mm/aaaa") &amp; "-" &amp; COUNTIF($A$2:A223, A29)</f>
        <v>EQ411JS-28/02/2024-1</v>
      </c>
      <c r="BX29" s="77" t="str">
        <v>BF512LK</v>
      </c>
    </row>
    <row r="30" spans="1:76" x14ac:dyDescent="0.2">
      <c r="A30" s="77" t="s">
        <v>1671</v>
      </c>
      <c r="B30" s="88" t="s">
        <v>1676</v>
      </c>
      <c r="C30" s="77" t="s">
        <v>1672</v>
      </c>
      <c r="D30" s="77" t="s">
        <v>957</v>
      </c>
      <c r="E30" s="77" t="b">
        <v>1</v>
      </c>
      <c r="F30" s="77" t="b">
        <v>1</v>
      </c>
      <c r="G30" s="77" t="b">
        <v>1</v>
      </c>
      <c r="H30" s="77" t="b">
        <v>1</v>
      </c>
      <c r="I30" s="77" t="s">
        <v>1677</v>
      </c>
      <c r="J30" s="77" t="s">
        <v>1484</v>
      </c>
      <c r="K30" s="77" t="s">
        <v>796</v>
      </c>
      <c r="L30" s="77" t="s">
        <v>135</v>
      </c>
      <c r="M30" s="77" t="s">
        <v>1674</v>
      </c>
      <c r="N30" s="86" t="s">
        <v>1678</v>
      </c>
      <c r="O30" s="77" t="s">
        <v>1682</v>
      </c>
      <c r="P30" s="77" t="s">
        <v>1448</v>
      </c>
      <c r="Q30" s="77" t="s">
        <v>1448</v>
      </c>
      <c r="R30" s="77" t="s">
        <v>1448</v>
      </c>
      <c r="S30" s="77" t="s">
        <v>1448</v>
      </c>
      <c r="T30" s="77" t="s">
        <v>1448</v>
      </c>
      <c r="U30" s="77" t="s">
        <v>1448</v>
      </c>
      <c r="V30" s="77" t="s">
        <v>1448</v>
      </c>
      <c r="W30" s="77" t="s">
        <v>1448</v>
      </c>
      <c r="X30" s="77" t="s">
        <v>1448</v>
      </c>
      <c r="Y30" s="77" t="s">
        <v>1448</v>
      </c>
      <c r="Z30" s="77" t="s">
        <v>1448</v>
      </c>
      <c r="AA30" s="77" t="s">
        <v>1448</v>
      </c>
      <c r="AB30" s="77" t="s">
        <v>1448</v>
      </c>
      <c r="AC30" s="77" t="s">
        <v>1448</v>
      </c>
      <c r="AD30" s="77" t="s">
        <v>1448</v>
      </c>
      <c r="AE30" s="77" t="s">
        <v>1448</v>
      </c>
      <c r="AF30" s="77" t="s">
        <v>1448</v>
      </c>
      <c r="AG30" s="77" t="s">
        <v>1448</v>
      </c>
      <c r="AH30" s="77" t="s">
        <v>1448</v>
      </c>
      <c r="AI30" s="77" t="s">
        <v>1448</v>
      </c>
      <c r="AJ30" s="77" t="s">
        <v>1448</v>
      </c>
      <c r="AK30" s="77" t="s">
        <v>1448</v>
      </c>
      <c r="AL30" s="77" t="s">
        <v>1448</v>
      </c>
      <c r="AM30" s="77" t="s">
        <v>1448</v>
      </c>
      <c r="AN30" s="77" t="s">
        <v>1448</v>
      </c>
      <c r="AO30" s="77" t="s">
        <v>1448</v>
      </c>
      <c r="AP30" s="77" t="s">
        <v>1448</v>
      </c>
      <c r="AQ30" s="77" t="s">
        <v>1448</v>
      </c>
      <c r="AR30" s="77" t="s">
        <v>1448</v>
      </c>
      <c r="AS30" s="77" t="s">
        <v>1448</v>
      </c>
      <c r="AT30" s="77" t="s">
        <v>1448</v>
      </c>
      <c r="AU30" s="77" t="s">
        <v>1448</v>
      </c>
      <c r="AV30" s="77" t="s">
        <v>1448</v>
      </c>
      <c r="AW30" s="77" t="s">
        <v>1448</v>
      </c>
      <c r="AX30" s="77" t="s">
        <v>1448</v>
      </c>
      <c r="AY30" s="77" t="s">
        <v>1448</v>
      </c>
      <c r="AZ30" s="77" t="s">
        <v>1448</v>
      </c>
      <c r="BA30" s="77" t="s">
        <v>1449</v>
      </c>
      <c r="BB30" s="77" t="s">
        <v>1448</v>
      </c>
      <c r="BC30" s="79" t="s">
        <v>1683</v>
      </c>
      <c r="BO30" s="77" t="b">
        <v>0</v>
      </c>
      <c r="BT30" s="84">
        <v>0</v>
      </c>
      <c r="BU30" s="84">
        <v>0</v>
      </c>
      <c r="BV30" s="77" t="str">
        <f>A30 &amp; "-" &amp; TEXT(B30, "jj/mm/aaaa") &amp; "-" &amp; COUNTIF($A$2:A223, A30)</f>
        <v>DA242EQ-28/02/2024-1</v>
      </c>
      <c r="BX30" s="77" t="str">
        <v>BJ719YF</v>
      </c>
    </row>
    <row r="31" spans="1:76" x14ac:dyDescent="0.2">
      <c r="A31" s="77" t="s">
        <v>1485</v>
      </c>
      <c r="B31" s="88" t="s">
        <v>1679</v>
      </c>
      <c r="C31" s="77" t="s">
        <v>1487</v>
      </c>
      <c r="D31" s="77" t="s">
        <v>958</v>
      </c>
      <c r="E31" s="77" t="b">
        <v>0</v>
      </c>
      <c r="F31" s="77" t="b">
        <v>0</v>
      </c>
      <c r="G31" s="77" t="b">
        <v>0</v>
      </c>
      <c r="H31" s="77" t="b">
        <v>0</v>
      </c>
      <c r="I31" s="77" t="s">
        <v>1488</v>
      </c>
      <c r="J31" s="77" t="s">
        <v>1484</v>
      </c>
      <c r="K31" s="77" t="s">
        <v>94</v>
      </c>
      <c r="L31" s="77" t="s">
        <v>105</v>
      </c>
      <c r="M31" s="77" t="s">
        <v>379</v>
      </c>
      <c r="P31" s="77" t="s">
        <v>1448</v>
      </c>
      <c r="Q31" s="77" t="s">
        <v>1448</v>
      </c>
      <c r="R31" s="77" t="s">
        <v>1449</v>
      </c>
      <c r="S31" s="77" t="s">
        <v>1448</v>
      </c>
      <c r="T31" s="77" t="s">
        <v>1448</v>
      </c>
      <c r="U31" s="77" t="s">
        <v>1448</v>
      </c>
      <c r="V31" s="77" t="s">
        <v>1448</v>
      </c>
      <c r="W31" s="77" t="s">
        <v>1449</v>
      </c>
      <c r="X31" s="77" t="s">
        <v>1448</v>
      </c>
      <c r="Y31" s="77" t="s">
        <v>1448</v>
      </c>
      <c r="Z31" s="77" t="s">
        <v>1449</v>
      </c>
      <c r="AA31" s="77" t="s">
        <v>1449</v>
      </c>
      <c r="AB31" s="77" t="s">
        <v>1448</v>
      </c>
      <c r="AC31" s="77" t="s">
        <v>1448</v>
      </c>
      <c r="AD31" s="77" t="s">
        <v>1448</v>
      </c>
      <c r="AE31" s="77" t="s">
        <v>1448</v>
      </c>
      <c r="AF31" s="77" t="s">
        <v>1448</v>
      </c>
      <c r="AG31" s="77" t="s">
        <v>1448</v>
      </c>
      <c r="AH31" s="77" t="s">
        <v>1448</v>
      </c>
      <c r="AI31" s="77" t="s">
        <v>1448</v>
      </c>
      <c r="AJ31" s="77" t="s">
        <v>1448</v>
      </c>
      <c r="AK31" s="77" t="s">
        <v>1448</v>
      </c>
      <c r="AL31" s="77" t="s">
        <v>1448</v>
      </c>
      <c r="AM31" s="77" t="s">
        <v>1448</v>
      </c>
      <c r="AN31" s="77" t="s">
        <v>1448</v>
      </c>
      <c r="AO31" s="77" t="s">
        <v>1448</v>
      </c>
      <c r="AP31" s="77" t="s">
        <v>1448</v>
      </c>
      <c r="AQ31" s="77" t="s">
        <v>1448</v>
      </c>
      <c r="AR31" s="77" t="s">
        <v>1448</v>
      </c>
      <c r="AS31" s="77" t="s">
        <v>1449</v>
      </c>
      <c r="AT31" s="77" t="s">
        <v>1448</v>
      </c>
      <c r="AU31" s="77" t="s">
        <v>1448</v>
      </c>
      <c r="AV31" s="77" t="s">
        <v>1448</v>
      </c>
      <c r="AW31" s="77" t="s">
        <v>1448</v>
      </c>
      <c r="AX31" s="77" t="s">
        <v>1448</v>
      </c>
      <c r="AY31" s="77" t="s">
        <v>1448</v>
      </c>
      <c r="AZ31" s="77" t="s">
        <v>1448</v>
      </c>
      <c r="BA31" s="77" t="s">
        <v>1448</v>
      </c>
      <c r="BB31" s="77" t="s">
        <v>1448</v>
      </c>
      <c r="BC31" s="79" t="s">
        <v>1680</v>
      </c>
      <c r="BD31" s="79" t="s">
        <v>1681</v>
      </c>
      <c r="BO31" s="77" t="b">
        <v>0</v>
      </c>
      <c r="BT31" s="84">
        <v>0</v>
      </c>
      <c r="BU31" s="84">
        <v>0</v>
      </c>
      <c r="BV31" s="77" t="str">
        <f>A31 &amp; "-" &amp; TEXT(B31, "jj/mm/aaaa") &amp; "-" &amp; COUNTIF($A$2:A223, A31)</f>
        <v>BB312CG-28/02/2024-3</v>
      </c>
      <c r="BX31" s="77" t="str">
        <v>BN698KH</v>
      </c>
    </row>
    <row r="32" spans="1:76" x14ac:dyDescent="0.2">
      <c r="A32" s="77" t="s">
        <v>1684</v>
      </c>
      <c r="B32" s="88" t="s">
        <v>1688</v>
      </c>
      <c r="C32" s="77" t="s">
        <v>1013</v>
      </c>
      <c r="D32" s="77" t="s">
        <v>959</v>
      </c>
      <c r="E32" s="77" t="b">
        <v>1</v>
      </c>
      <c r="F32" s="77" t="b">
        <v>1</v>
      </c>
      <c r="G32" s="77" t="b">
        <v>1</v>
      </c>
      <c r="H32" s="77" t="b">
        <v>1</v>
      </c>
      <c r="I32" s="77" t="s">
        <v>94</v>
      </c>
      <c r="J32" s="77" t="s">
        <v>1104</v>
      </c>
      <c r="K32" s="77" t="s">
        <v>833</v>
      </c>
      <c r="L32" s="77" t="s">
        <v>1685</v>
      </c>
      <c r="M32" s="77">
        <v>208</v>
      </c>
      <c r="N32" s="86">
        <v>65285</v>
      </c>
      <c r="O32" s="77" t="s">
        <v>1698</v>
      </c>
      <c r="P32" s="77" t="s">
        <v>1448</v>
      </c>
      <c r="Q32" s="77" t="s">
        <v>1448</v>
      </c>
      <c r="R32" s="77" t="s">
        <v>1448</v>
      </c>
      <c r="S32" s="77" t="s">
        <v>1448</v>
      </c>
      <c r="T32" s="77" t="s">
        <v>1448</v>
      </c>
      <c r="U32" s="77" t="s">
        <v>1448</v>
      </c>
      <c r="V32" s="77" t="s">
        <v>1448</v>
      </c>
      <c r="W32" s="77" t="s">
        <v>1448</v>
      </c>
      <c r="X32" s="77" t="s">
        <v>1448</v>
      </c>
      <c r="Y32" s="77" t="s">
        <v>1448</v>
      </c>
      <c r="Z32" s="77" t="s">
        <v>1448</v>
      </c>
      <c r="AA32" s="77" t="s">
        <v>1448</v>
      </c>
      <c r="AB32" s="77" t="s">
        <v>1448</v>
      </c>
      <c r="AC32" s="77" t="s">
        <v>1448</v>
      </c>
      <c r="AD32" s="77" t="s">
        <v>1448</v>
      </c>
      <c r="AE32" s="77" t="s">
        <v>1448</v>
      </c>
      <c r="AF32" s="77" t="s">
        <v>1448</v>
      </c>
      <c r="AG32" s="77" t="s">
        <v>1448</v>
      </c>
      <c r="AH32" s="77" t="s">
        <v>1448</v>
      </c>
      <c r="AI32" s="77" t="s">
        <v>1448</v>
      </c>
      <c r="AJ32" s="77" t="s">
        <v>1448</v>
      </c>
      <c r="AK32" s="77" t="s">
        <v>1448</v>
      </c>
      <c r="AL32" s="77" t="s">
        <v>1448</v>
      </c>
      <c r="AM32" s="77" t="s">
        <v>1448</v>
      </c>
      <c r="AN32" s="77" t="s">
        <v>1448</v>
      </c>
      <c r="AO32" s="77" t="s">
        <v>1448</v>
      </c>
      <c r="AP32" s="77" t="s">
        <v>1448</v>
      </c>
      <c r="AQ32" s="77" t="s">
        <v>1448</v>
      </c>
      <c r="AR32" s="77" t="s">
        <v>1448</v>
      </c>
      <c r="AS32" s="77" t="s">
        <v>1448</v>
      </c>
      <c r="AT32" s="77" t="s">
        <v>1448</v>
      </c>
      <c r="AU32" s="77" t="s">
        <v>1448</v>
      </c>
      <c r="AV32" s="77" t="s">
        <v>1448</v>
      </c>
      <c r="AW32" s="77" t="s">
        <v>1448</v>
      </c>
      <c r="AX32" s="77" t="s">
        <v>1448</v>
      </c>
      <c r="AY32" s="77" t="s">
        <v>1448</v>
      </c>
      <c r="AZ32" s="77" t="s">
        <v>1448</v>
      </c>
      <c r="BA32" s="77" t="s">
        <v>1448</v>
      </c>
      <c r="BB32" s="77" t="s">
        <v>1448</v>
      </c>
      <c r="BC32" s="79" t="s">
        <v>1699</v>
      </c>
      <c r="BD32" s="79" t="s">
        <v>1700</v>
      </c>
      <c r="BO32" s="77" t="b">
        <v>0</v>
      </c>
      <c r="BT32" s="84" t="e">
        <v>#REF!</v>
      </c>
      <c r="BU32" s="84" t="e">
        <v>#REF!</v>
      </c>
      <c r="BV32" s="77" t="str">
        <f>A32 &amp; "-" &amp; TEXT(B32, "jj/mm/aaaa") &amp; "-" &amp; COUNTIF($A$2:A223, A32)</f>
        <v>FF869WY-29/02/2024-1</v>
      </c>
      <c r="BX32" s="77" t="str">
        <v>BP224MA</v>
      </c>
    </row>
    <row r="33" spans="1:76" x14ac:dyDescent="0.2">
      <c r="A33" s="77" t="s">
        <v>1691</v>
      </c>
      <c r="B33" s="88" t="s">
        <v>1696</v>
      </c>
      <c r="C33" s="77" t="s">
        <v>1692</v>
      </c>
      <c r="D33" s="77" t="s">
        <v>959</v>
      </c>
      <c r="E33" s="77" t="b">
        <v>0</v>
      </c>
      <c r="F33" s="77" t="b">
        <v>0</v>
      </c>
      <c r="G33" s="77" t="b">
        <v>0</v>
      </c>
      <c r="H33" s="77" t="b">
        <v>0</v>
      </c>
      <c r="I33" s="77" t="s">
        <v>569</v>
      </c>
      <c r="J33" s="77" t="s">
        <v>1470</v>
      </c>
      <c r="K33" s="77" t="s">
        <v>158</v>
      </c>
      <c r="L33" s="77" t="s">
        <v>111</v>
      </c>
      <c r="M33" s="77" t="s">
        <v>126</v>
      </c>
      <c r="N33" s="86" t="s">
        <v>1697</v>
      </c>
      <c r="O33" s="77" t="s">
        <v>1710</v>
      </c>
      <c r="BC33" s="79" t="s">
        <v>1711</v>
      </c>
      <c r="BD33" s="79" t="s">
        <v>1712</v>
      </c>
      <c r="BE33" s="79" t="s">
        <v>1713</v>
      </c>
      <c r="BO33" s="77" t="b">
        <v>0</v>
      </c>
      <c r="BT33" s="84" t="e">
        <v>#REF!</v>
      </c>
      <c r="BU33" s="84" t="e">
        <v>#REF!</v>
      </c>
      <c r="BV33" s="77" t="str">
        <f>A33 &amp; "-" &amp; TEXT(B33, "jj/mm/aaaa") &amp; "-" &amp; COUNTIF($A$2:A223, A33)</f>
        <v>AC133FW-29/02/2024-2</v>
      </c>
      <c r="BX33" s="77" t="str">
        <v>BQ561KN</v>
      </c>
    </row>
    <row r="34" spans="1:76" x14ac:dyDescent="0.2">
      <c r="A34" s="77" t="s">
        <v>1701</v>
      </c>
      <c r="B34" s="88" t="s">
        <v>1708</v>
      </c>
      <c r="C34" s="77" t="s">
        <v>1702</v>
      </c>
      <c r="D34" s="77" t="s">
        <v>958</v>
      </c>
      <c r="E34" s="77" t="b">
        <v>1</v>
      </c>
      <c r="F34" s="77" t="b">
        <v>1</v>
      </c>
      <c r="G34" s="77" t="b">
        <v>1</v>
      </c>
      <c r="H34" s="77" t="b">
        <v>1</v>
      </c>
      <c r="I34" s="77" t="s">
        <v>1707</v>
      </c>
      <c r="J34" s="77" t="s">
        <v>1706</v>
      </c>
      <c r="K34" s="77" t="s">
        <v>114</v>
      </c>
      <c r="L34" s="77" t="s">
        <v>139</v>
      </c>
      <c r="M34" s="77" t="s">
        <v>239</v>
      </c>
      <c r="BC34" s="79" t="s">
        <v>1709</v>
      </c>
      <c r="BO34" s="77" t="b">
        <v>0</v>
      </c>
      <c r="BT34" s="84" t="e">
        <v>#REF!</v>
      </c>
      <c r="BU34" s="84" t="e">
        <v>#REF!</v>
      </c>
      <c r="BV34" s="77" t="str">
        <f>A34 &amp; "-" &amp; TEXT(B34, "jj/mm/aaaa") &amp; "-" &amp; COUNTIF($A$2:A223, A34)</f>
        <v>EZ830FG-29/02/2024-1</v>
      </c>
      <c r="BX34" s="77" t="str">
        <v>BS824ZE</v>
      </c>
    </row>
    <row r="35" spans="1:76" x14ac:dyDescent="0.2">
      <c r="A35" s="77" t="s">
        <v>1714</v>
      </c>
      <c r="B35" s="88">
        <v>45352.380891203706</v>
      </c>
      <c r="C35" s="77" t="s">
        <v>1702</v>
      </c>
      <c r="D35" s="77" t="s">
        <v>958</v>
      </c>
      <c r="E35" s="77" t="b">
        <v>1</v>
      </c>
      <c r="F35" s="77" t="b">
        <v>1</v>
      </c>
      <c r="G35" s="77" t="b">
        <v>0</v>
      </c>
      <c r="H35" s="77" t="b">
        <v>0</v>
      </c>
      <c r="I35" s="77" t="s">
        <v>1707</v>
      </c>
      <c r="J35" s="77">
        <v>34</v>
      </c>
      <c r="K35" s="77" t="s">
        <v>114</v>
      </c>
      <c r="L35" s="77" t="s">
        <v>139</v>
      </c>
      <c r="M35" s="77" t="s">
        <v>1715</v>
      </c>
      <c r="N35" s="86">
        <v>44628</v>
      </c>
      <c r="P35" s="77" t="s">
        <v>1448</v>
      </c>
      <c r="Q35" s="77" t="s">
        <v>1448</v>
      </c>
      <c r="R35" s="77" t="s">
        <v>1448</v>
      </c>
      <c r="S35" s="77" t="s">
        <v>1448</v>
      </c>
      <c r="T35" s="77" t="s">
        <v>1448</v>
      </c>
      <c r="U35" s="77" t="s">
        <v>1448</v>
      </c>
      <c r="V35" s="77" t="s">
        <v>1448</v>
      </c>
      <c r="W35" s="77" t="s">
        <v>1448</v>
      </c>
      <c r="X35" s="77" t="s">
        <v>1448</v>
      </c>
      <c r="Y35" s="77" t="s">
        <v>1448</v>
      </c>
      <c r="Z35" s="77" t="s">
        <v>1448</v>
      </c>
      <c r="AA35" s="77" t="s">
        <v>1448</v>
      </c>
      <c r="AB35" s="77" t="s">
        <v>1448</v>
      </c>
      <c r="AC35" s="77" t="s">
        <v>1448</v>
      </c>
      <c r="AD35" s="77" t="s">
        <v>1448</v>
      </c>
      <c r="AE35" s="77" t="s">
        <v>1448</v>
      </c>
      <c r="AF35" s="77" t="s">
        <v>1448</v>
      </c>
      <c r="AG35" s="77" t="s">
        <v>1448</v>
      </c>
      <c r="AH35" s="77" t="s">
        <v>1448</v>
      </c>
      <c r="AI35" s="77" t="s">
        <v>1448</v>
      </c>
      <c r="AJ35" s="77" t="s">
        <v>1448</v>
      </c>
      <c r="AK35" s="77" t="s">
        <v>1448</v>
      </c>
      <c r="AL35" s="77" t="s">
        <v>1448</v>
      </c>
      <c r="AM35" s="77" t="s">
        <v>1448</v>
      </c>
      <c r="AN35" s="77" t="s">
        <v>1448</v>
      </c>
      <c r="AO35" s="77" t="s">
        <v>1448</v>
      </c>
      <c r="AQ35" s="77" t="s">
        <v>1448</v>
      </c>
      <c r="AR35" s="77" t="s">
        <v>1448</v>
      </c>
      <c r="AS35" s="77" t="s">
        <v>1448</v>
      </c>
      <c r="AT35" s="77" t="s">
        <v>1448</v>
      </c>
      <c r="AU35" s="77" t="s">
        <v>1448</v>
      </c>
      <c r="AV35" s="77" t="s">
        <v>1448</v>
      </c>
      <c r="AW35" s="77" t="s">
        <v>1448</v>
      </c>
      <c r="AX35" s="77" t="s">
        <v>1448</v>
      </c>
      <c r="AY35" s="77" t="s">
        <v>1448</v>
      </c>
      <c r="AZ35" s="77" t="s">
        <v>1448</v>
      </c>
      <c r="BA35" s="77" t="s">
        <v>1448</v>
      </c>
      <c r="BB35" s="77" t="s">
        <v>1448</v>
      </c>
      <c r="BC35" s="79" t="s">
        <v>1740</v>
      </c>
      <c r="BD35" s="79" t="s">
        <v>1741</v>
      </c>
      <c r="BE35" s="79" t="s">
        <v>1742</v>
      </c>
      <c r="BO35" s="77" t="b">
        <v>0</v>
      </c>
      <c r="BT35" s="84" t="e">
        <v>#REF!</v>
      </c>
      <c r="BU35" s="84" t="e">
        <v>#REF!</v>
      </c>
      <c r="BV35" s="77" t="str">
        <f>A35 &amp; "-" &amp; TEXT(B35, "jj/mm/aaaa") &amp; "-" &amp; COUNTIF($A$2:A223, A35)</f>
        <v>GC131DC-01/03/2024-1</v>
      </c>
      <c r="BX35" s="77" t="str">
        <v>BT878BQ</v>
      </c>
    </row>
    <row r="36" spans="1:76" x14ac:dyDescent="0.2">
      <c r="A36" s="77" t="s">
        <v>1718</v>
      </c>
      <c r="B36" s="88">
        <v>45352.395636574074</v>
      </c>
      <c r="C36" s="77" t="s">
        <v>1719</v>
      </c>
      <c r="D36" s="77" t="s">
        <v>959</v>
      </c>
      <c r="E36" s="77" t="b">
        <v>0</v>
      </c>
      <c r="F36" s="77" t="b">
        <v>0</v>
      </c>
      <c r="G36" s="77" t="b">
        <v>0</v>
      </c>
      <c r="H36" s="77" t="b">
        <v>0</v>
      </c>
      <c r="I36" s="77" t="s">
        <v>1725</v>
      </c>
      <c r="J36" s="77" t="s">
        <v>1136</v>
      </c>
      <c r="K36" s="77" t="s">
        <v>204</v>
      </c>
      <c r="L36" s="77" t="s">
        <v>128</v>
      </c>
      <c r="M36" s="77" t="s">
        <v>1721</v>
      </c>
      <c r="N36" s="86">
        <v>136840</v>
      </c>
      <c r="BC36" s="79" t="s">
        <v>1726</v>
      </c>
      <c r="BO36" s="77" t="b">
        <v>0</v>
      </c>
      <c r="BT36" s="84" t="e">
        <v>#REF!</v>
      </c>
      <c r="BU36" s="84" t="e">
        <v>#REF!</v>
      </c>
      <c r="BV36" s="77" t="str">
        <f>A36 &amp; "-" &amp; TEXT(B36, "jj/mm/aaaa") &amp; "-" &amp; COUNTIF($A$2:A223, A36)</f>
        <v>DD424FT-01/03/2024-2</v>
      </c>
      <c r="BX36" s="77" t="str">
        <v>BV959ND</v>
      </c>
    </row>
    <row r="37" spans="1:76" x14ac:dyDescent="0.2">
      <c r="A37" s="77" t="s">
        <v>1718</v>
      </c>
      <c r="B37" s="88">
        <v>45352.400810185187</v>
      </c>
      <c r="C37" s="77" t="s">
        <v>1719</v>
      </c>
      <c r="D37" s="77" t="s">
        <v>959</v>
      </c>
      <c r="E37" s="77" t="b">
        <v>0</v>
      </c>
      <c r="F37" s="77" t="b">
        <v>0</v>
      </c>
      <c r="G37" s="77" t="b">
        <v>0</v>
      </c>
      <c r="H37" s="77" t="b">
        <v>0</v>
      </c>
      <c r="I37" s="77" t="s">
        <v>1725</v>
      </c>
      <c r="J37" s="77" t="s">
        <v>1136</v>
      </c>
      <c r="K37" s="77" t="s">
        <v>204</v>
      </c>
      <c r="L37" s="77" t="s">
        <v>128</v>
      </c>
      <c r="M37" s="77" t="s">
        <v>1721</v>
      </c>
      <c r="N37" s="86">
        <v>136840</v>
      </c>
      <c r="P37" s="77" t="s">
        <v>1448</v>
      </c>
      <c r="Q37" s="77" t="s">
        <v>1448</v>
      </c>
      <c r="R37" s="77" t="s">
        <v>1448</v>
      </c>
      <c r="S37" s="77" t="s">
        <v>1448</v>
      </c>
      <c r="T37" s="77" t="s">
        <v>1448</v>
      </c>
      <c r="U37" s="77" t="s">
        <v>1448</v>
      </c>
      <c r="V37" s="77" t="s">
        <v>1448</v>
      </c>
      <c r="W37" s="77" t="s">
        <v>1448</v>
      </c>
      <c r="X37" s="77" t="s">
        <v>1448</v>
      </c>
      <c r="Y37" s="77" t="s">
        <v>1448</v>
      </c>
      <c r="Z37" s="77" t="s">
        <v>1448</v>
      </c>
      <c r="AA37" s="77" t="s">
        <v>1448</v>
      </c>
      <c r="AB37" s="77" t="s">
        <v>1448</v>
      </c>
      <c r="AC37" s="77" t="s">
        <v>1448</v>
      </c>
      <c r="AD37" s="77" t="s">
        <v>1448</v>
      </c>
      <c r="AE37" s="77" t="s">
        <v>1448</v>
      </c>
      <c r="AF37" s="77" t="s">
        <v>1448</v>
      </c>
      <c r="AG37" s="77" t="s">
        <v>1448</v>
      </c>
      <c r="AH37" s="77" t="s">
        <v>1448</v>
      </c>
      <c r="AI37" s="77" t="s">
        <v>1448</v>
      </c>
      <c r="AJ37" s="77" t="s">
        <v>1448</v>
      </c>
      <c r="AK37" s="77" t="s">
        <v>1448</v>
      </c>
      <c r="AL37" s="77" t="s">
        <v>1448</v>
      </c>
      <c r="AM37" s="77" t="s">
        <v>1448</v>
      </c>
      <c r="AN37" s="77" t="s">
        <v>1448</v>
      </c>
      <c r="AO37" s="77" t="s">
        <v>1448</v>
      </c>
      <c r="AP37" s="77" t="s">
        <v>1450</v>
      </c>
      <c r="AQ37" s="77" t="s">
        <v>1448</v>
      </c>
      <c r="AR37" s="77" t="s">
        <v>1448</v>
      </c>
      <c r="AS37" s="77" t="s">
        <v>1448</v>
      </c>
      <c r="AT37" s="77" t="s">
        <v>1448</v>
      </c>
      <c r="AU37" s="77" t="s">
        <v>1448</v>
      </c>
      <c r="AV37" s="77" t="s">
        <v>1448</v>
      </c>
      <c r="AW37" s="77" t="s">
        <v>1448</v>
      </c>
      <c r="AX37" s="77" t="s">
        <v>1448</v>
      </c>
      <c r="AY37" s="77" t="s">
        <v>1448</v>
      </c>
      <c r="AZ37" s="77" t="s">
        <v>1448</v>
      </c>
      <c r="BA37" s="77" t="s">
        <v>1448</v>
      </c>
      <c r="BB37" s="77" t="s">
        <v>1448</v>
      </c>
      <c r="BC37" s="79" t="s">
        <v>1731</v>
      </c>
      <c r="BD37" s="79" t="s">
        <v>1732</v>
      </c>
      <c r="BE37" s="79" t="s">
        <v>1733</v>
      </c>
      <c r="BO37" s="77" t="b">
        <v>0</v>
      </c>
      <c r="BT37" s="84" t="e">
        <v>#REF!</v>
      </c>
      <c r="BU37" s="84" t="e">
        <v>#REF!</v>
      </c>
      <c r="BV37" s="77" t="str">
        <f>A37 &amp; "-" &amp; TEXT(B37, "jj/mm/aaaa") &amp; "-" &amp; COUNTIF($A$2:A223, A37)</f>
        <v>DD424FT-01/03/2024-2</v>
      </c>
      <c r="BX37" s="77" t="str">
        <v>BW220AF</v>
      </c>
    </row>
    <row r="38" spans="1:76" x14ac:dyDescent="0.2">
      <c r="A38" s="77" t="s">
        <v>1727</v>
      </c>
      <c r="B38" s="88">
        <v>45352.455243055556</v>
      </c>
      <c r="C38" s="77" t="s">
        <v>1728</v>
      </c>
      <c r="E38" s="77" t="b">
        <v>0</v>
      </c>
      <c r="F38" s="77" t="b">
        <v>0</v>
      </c>
      <c r="G38" s="77" t="b">
        <v>0</v>
      </c>
      <c r="H38" s="77" t="b">
        <v>0</v>
      </c>
      <c r="I38" s="77" t="s">
        <v>94</v>
      </c>
      <c r="J38" s="77" t="s">
        <v>1484</v>
      </c>
      <c r="K38" s="77" t="s">
        <v>77</v>
      </c>
      <c r="L38" s="77" t="s">
        <v>105</v>
      </c>
      <c r="M38" s="77" t="s">
        <v>147</v>
      </c>
      <c r="BC38" s="79" t="s">
        <v>1730</v>
      </c>
      <c r="BO38" s="77" t="b">
        <v>0</v>
      </c>
      <c r="BT38" s="84" t="e">
        <v>#REF!</v>
      </c>
      <c r="BU38" s="84" t="e">
        <v>#REF!</v>
      </c>
      <c r="BV38" s="77" t="str">
        <f>A38 &amp; "-" &amp; TEXT(B38, "jj/mm/aaaa") &amp; "-" &amp; COUNTIF($A$2:A223, A38)</f>
        <v>BW220AF-01/03/2024-1</v>
      </c>
      <c r="BX38" s="77" t="str">
        <v>BX846ES</v>
      </c>
    </row>
    <row r="39" spans="1:76" x14ac:dyDescent="0.2">
      <c r="A39" s="77" t="s">
        <v>1737</v>
      </c>
      <c r="B39" s="88">
        <v>45352.505486111113</v>
      </c>
      <c r="C39" s="77" t="s">
        <v>1013</v>
      </c>
      <c r="D39" s="77" t="s">
        <v>958</v>
      </c>
      <c r="E39" s="77" t="b">
        <v>0</v>
      </c>
      <c r="F39" s="77" t="b">
        <v>0</v>
      </c>
      <c r="G39" s="77" t="b">
        <v>0</v>
      </c>
      <c r="H39" s="77" t="b">
        <v>0</v>
      </c>
      <c r="I39" s="77" t="s">
        <v>94</v>
      </c>
      <c r="J39" s="77" t="s">
        <v>1289</v>
      </c>
      <c r="K39" s="77" t="s">
        <v>1330</v>
      </c>
      <c r="L39" s="77" t="s">
        <v>1685</v>
      </c>
      <c r="M39" s="77">
        <v>2008</v>
      </c>
      <c r="N39" s="86" t="s">
        <v>1738</v>
      </c>
      <c r="BC39" s="79" t="s">
        <v>1739</v>
      </c>
      <c r="BO39" s="77" t="b">
        <v>0</v>
      </c>
      <c r="BT39" s="84" t="e">
        <v>#REF!</v>
      </c>
      <c r="BU39" s="84" t="e">
        <v>#REF!</v>
      </c>
      <c r="BV39" s="77" t="str">
        <f>A39 &amp; "-" &amp; TEXT(B39, "jj/mm/aaaa") &amp; "-" &amp; COUNTIF($A$2:A223, A39)</f>
        <v>DW570MQ-01/03/2024-1</v>
      </c>
      <c r="BX39" s="77" t="str">
        <v>BY270AE</v>
      </c>
    </row>
    <row r="40" spans="1:76" x14ac:dyDescent="0.2">
      <c r="A40" s="77" t="s">
        <v>586</v>
      </c>
      <c r="B40" s="88">
        <v>45352.710706018515</v>
      </c>
      <c r="C40" s="77" t="s">
        <v>392</v>
      </c>
      <c r="E40" s="77" t="b">
        <v>0</v>
      </c>
      <c r="F40" s="77" t="b">
        <v>0</v>
      </c>
      <c r="G40" s="77" t="b">
        <v>0</v>
      </c>
      <c r="H40" s="77" t="b">
        <v>0</v>
      </c>
      <c r="I40" s="77" t="s">
        <v>78</v>
      </c>
      <c r="J40" s="77">
        <v>20</v>
      </c>
      <c r="K40" s="77" t="s">
        <v>1327</v>
      </c>
      <c r="L40" s="77" t="s">
        <v>173</v>
      </c>
      <c r="M40" s="77" t="s">
        <v>174</v>
      </c>
      <c r="BC40" s="79" t="s">
        <v>1744</v>
      </c>
      <c r="BO40" s="77" t="b">
        <v>0</v>
      </c>
      <c r="BT40" s="84" t="e">
        <v>#REF!</v>
      </c>
      <c r="BU40" s="84" t="e">
        <v>#REF!</v>
      </c>
      <c r="BV40" s="77" t="str">
        <f>A40 &amp; "-" &amp; TEXT(B40, "jj/mm/aaaa") &amp; "-" &amp; COUNTIF($A$2:A223, A40)</f>
        <v>EP726VX-01/03/2024-1</v>
      </c>
      <c r="BX40" s="77" t="str">
        <v>BZ276JT</v>
      </c>
    </row>
    <row r="41" spans="1:76" x14ac:dyDescent="0.2">
      <c r="A41" s="77" t="s">
        <v>1745</v>
      </c>
      <c r="B41" s="88">
        <v>45352.712233796294</v>
      </c>
      <c r="C41" s="77" t="s">
        <v>1013</v>
      </c>
      <c r="E41" s="77" t="b">
        <v>1</v>
      </c>
      <c r="F41" s="77" t="b">
        <v>1</v>
      </c>
      <c r="G41" s="77" t="b">
        <v>1</v>
      </c>
      <c r="H41" s="77" t="b">
        <v>0</v>
      </c>
      <c r="I41" s="77" t="s">
        <v>1725</v>
      </c>
      <c r="J41" s="77" t="s">
        <v>1749</v>
      </c>
      <c r="K41" s="77" t="s">
        <v>81</v>
      </c>
      <c r="L41" s="77" t="s">
        <v>248</v>
      </c>
      <c r="M41" s="77" t="s">
        <v>1746</v>
      </c>
      <c r="BC41" s="79" t="s">
        <v>1750</v>
      </c>
      <c r="BD41" s="79" t="s">
        <v>1751</v>
      </c>
      <c r="BE41" s="79" t="s">
        <v>1500</v>
      </c>
      <c r="BF41" s="79" t="s">
        <v>1752</v>
      </c>
      <c r="BG41" s="79" t="s">
        <v>1753</v>
      </c>
      <c r="BH41" s="79" t="s">
        <v>1754</v>
      </c>
      <c r="BO41" s="77" t="b">
        <v>0</v>
      </c>
      <c r="BT41" s="84" t="e">
        <v>#REF!</v>
      </c>
      <c r="BU41" s="84" t="e">
        <v>#REF!</v>
      </c>
      <c r="BV41" s="77" t="str">
        <f>A41 &amp; "-" &amp; TEXT(B41, "jj/mm/aaaa") &amp; "-" &amp; COUNTIF($A$2:A223, A41)</f>
        <v>BZ276JT-01/03/2024-1</v>
      </c>
      <c r="BX41" s="77" t="str">
        <v>CC474VL</v>
      </c>
    </row>
    <row r="42" spans="1:76" x14ac:dyDescent="0.2">
      <c r="A42" s="77" t="s">
        <v>1755</v>
      </c>
      <c r="B42" s="88">
        <v>45355.394062500003</v>
      </c>
      <c r="C42" s="77" t="s">
        <v>1756</v>
      </c>
      <c r="D42" s="77" t="s">
        <v>959</v>
      </c>
      <c r="E42" s="77" t="b">
        <v>0</v>
      </c>
      <c r="F42" s="77" t="b">
        <v>0</v>
      </c>
      <c r="G42" s="77" t="b">
        <v>0</v>
      </c>
      <c r="H42" s="77" t="b">
        <v>0</v>
      </c>
      <c r="I42" s="77" t="s">
        <v>1762</v>
      </c>
      <c r="J42" s="77" t="s">
        <v>1760</v>
      </c>
      <c r="K42" s="77" t="s">
        <v>1761</v>
      </c>
      <c r="L42" s="77" t="s">
        <v>399</v>
      </c>
      <c r="M42" s="77">
        <v>318</v>
      </c>
      <c r="N42" s="86">
        <v>222797</v>
      </c>
      <c r="BC42" s="79" t="s">
        <v>1763</v>
      </c>
      <c r="BD42" s="79" t="s">
        <v>1764</v>
      </c>
      <c r="BE42" s="79" t="s">
        <v>1765</v>
      </c>
      <c r="BF42" s="79" t="s">
        <v>1766</v>
      </c>
      <c r="BO42" s="77" t="b">
        <v>0</v>
      </c>
      <c r="BT42" s="84" t="e">
        <v>#REF!</v>
      </c>
      <c r="BU42" s="84" t="e">
        <v>#REF!</v>
      </c>
      <c r="BV42" s="77" t="str">
        <f>A42 &amp; "-" &amp; TEXT(B42, "jj/mm/aaaa") &amp; "-" &amp; COUNTIF($A$2:A223, A42)</f>
        <v>EV418DA-04/03/2024-1</v>
      </c>
      <c r="BX42" s="77" t="str">
        <v>CC596HX</v>
      </c>
    </row>
    <row r="43" spans="1:76" x14ac:dyDescent="0.2">
      <c r="A43" s="77" t="s">
        <v>749</v>
      </c>
      <c r="B43" s="88">
        <v>45355.409699074073</v>
      </c>
      <c r="C43" s="77" t="s">
        <v>1767</v>
      </c>
      <c r="D43" s="77" t="s">
        <v>957</v>
      </c>
      <c r="E43" s="77" t="b">
        <v>1</v>
      </c>
      <c r="F43" s="77" t="b">
        <v>0</v>
      </c>
      <c r="G43" s="77" t="b">
        <v>0</v>
      </c>
      <c r="H43" s="77" t="b">
        <v>0</v>
      </c>
      <c r="I43" s="77" t="s">
        <v>218</v>
      </c>
      <c r="J43" s="77" t="s">
        <v>1770</v>
      </c>
      <c r="K43" s="77" t="s">
        <v>109</v>
      </c>
      <c r="L43" s="77" t="s">
        <v>111</v>
      </c>
      <c r="M43" s="77">
        <v>208</v>
      </c>
      <c r="N43" s="86">
        <v>54013</v>
      </c>
      <c r="O43" s="77" t="s">
        <v>1771</v>
      </c>
      <c r="BC43" s="79" t="s">
        <v>1772</v>
      </c>
      <c r="BO43" s="77" t="b">
        <v>0</v>
      </c>
      <c r="BT43" s="84" t="e">
        <v>#REF!</v>
      </c>
      <c r="BU43" s="84" t="e">
        <v>#REF!</v>
      </c>
      <c r="BV43" s="77" t="str">
        <f>A43 &amp; "-" &amp; TEXT(B43, "jj/mm/aaaa") &amp; "-" &amp; COUNTIF($A$2:A223, A43)</f>
        <v>FQ371RW-04/03/2024-1</v>
      </c>
      <c r="BX43" s="77" t="str">
        <v>CE439ZD</v>
      </c>
    </row>
    <row r="44" spans="1:76" x14ac:dyDescent="0.2">
      <c r="A44" s="77" t="s">
        <v>1774</v>
      </c>
      <c r="B44" s="88">
        <v>45355.443182870367</v>
      </c>
      <c r="C44" s="77" t="s">
        <v>1774</v>
      </c>
      <c r="D44" s="77" t="s">
        <v>957</v>
      </c>
      <c r="E44" s="77" t="b">
        <v>0</v>
      </c>
      <c r="F44" s="77" t="b">
        <v>0</v>
      </c>
      <c r="G44" s="77" t="b">
        <v>0</v>
      </c>
      <c r="H44" s="77" t="b">
        <v>0</v>
      </c>
      <c r="I44" s="77">
        <v>9</v>
      </c>
      <c r="J44" s="77">
        <v>7</v>
      </c>
      <c r="K44" s="77">
        <v>8</v>
      </c>
      <c r="L44" s="77">
        <v>2</v>
      </c>
      <c r="M44" s="77">
        <v>3</v>
      </c>
      <c r="N44" s="86">
        <v>100</v>
      </c>
      <c r="O44" s="83">
        <v>40461</v>
      </c>
      <c r="BC44" s="79" t="s">
        <v>1597</v>
      </c>
      <c r="BD44" s="79" t="s">
        <v>1580</v>
      </c>
      <c r="BE44" s="79" t="s">
        <v>1775</v>
      </c>
      <c r="BF44" s="79" t="s">
        <v>1600</v>
      </c>
      <c r="BG44" s="79" t="s">
        <v>1776</v>
      </c>
      <c r="BH44" s="79" t="s">
        <v>1777</v>
      </c>
      <c r="BI44" s="79" t="s">
        <v>1778</v>
      </c>
      <c r="BJ44" s="79" t="s">
        <v>1776</v>
      </c>
      <c r="BO44" s="77" t="b">
        <v>0</v>
      </c>
      <c r="BT44" s="84" t="e">
        <v>#REF!</v>
      </c>
      <c r="BU44" s="84" t="e">
        <v>#REF!</v>
      </c>
      <c r="BV44" s="77" t="str">
        <f>A44 &amp; "-" &amp; TEXT(B44, "jj/mm/aaaa") &amp; "-" &amp; COUNTIF($A$2:A223, A44)</f>
        <v>TEST-04/03/2024-2</v>
      </c>
      <c r="BX44" s="77" t="str">
        <v>CJ857WY</v>
      </c>
    </row>
    <row r="45" spans="1:76" x14ac:dyDescent="0.2">
      <c r="A45" s="77" t="s">
        <v>1774</v>
      </c>
      <c r="B45" s="88">
        <v>45355.44394675926</v>
      </c>
      <c r="C45" s="77" t="s">
        <v>1774</v>
      </c>
      <c r="D45" s="77" t="s">
        <v>957</v>
      </c>
      <c r="E45" s="77" t="b">
        <v>0</v>
      </c>
      <c r="F45" s="77" t="b">
        <v>0</v>
      </c>
      <c r="G45" s="77" t="b">
        <v>0</v>
      </c>
      <c r="H45" s="77" t="b">
        <v>0</v>
      </c>
      <c r="I45" s="77">
        <v>9</v>
      </c>
      <c r="J45" s="77">
        <v>7</v>
      </c>
      <c r="K45" s="77">
        <v>8</v>
      </c>
      <c r="L45" s="77">
        <v>2</v>
      </c>
      <c r="M45" s="77">
        <v>3</v>
      </c>
      <c r="N45" s="86">
        <v>100</v>
      </c>
      <c r="BO45" s="77" t="b">
        <v>0</v>
      </c>
      <c r="BT45" s="84" t="e">
        <v>#REF!</v>
      </c>
      <c r="BU45" s="84" t="e">
        <v>#REF!</v>
      </c>
      <c r="BV45" s="77" t="str">
        <f>A45 &amp; "-" &amp; TEXT(B45, "jj/mm/aaaa") &amp; "-" &amp; COUNTIF($A$2:A223, A45)</f>
        <v>TEST-04/03/2024-2</v>
      </c>
      <c r="BX45" s="77" t="str">
        <v>CM179EH</v>
      </c>
    </row>
    <row r="46" spans="1:76" x14ac:dyDescent="0.2">
      <c r="A46" s="77" t="s">
        <v>813</v>
      </c>
      <c r="B46" s="88">
        <v>45356.373113425929</v>
      </c>
      <c r="C46" s="77" t="s">
        <v>175</v>
      </c>
      <c r="D46" s="77" t="s">
        <v>959</v>
      </c>
      <c r="E46" s="77" t="b">
        <v>0</v>
      </c>
      <c r="F46" s="77" t="b">
        <v>0</v>
      </c>
      <c r="G46" s="77" t="b">
        <v>0</v>
      </c>
      <c r="H46" s="77" t="b">
        <v>0</v>
      </c>
      <c r="I46" s="77" t="s">
        <v>675</v>
      </c>
      <c r="J46" s="77">
        <v>25</v>
      </c>
      <c r="K46" s="77" t="s">
        <v>796</v>
      </c>
      <c r="L46" s="77" t="s">
        <v>128</v>
      </c>
      <c r="M46" s="77" t="s">
        <v>1424</v>
      </c>
      <c r="N46" s="86">
        <v>79571</v>
      </c>
      <c r="BC46" s="79" t="s">
        <v>1779</v>
      </c>
      <c r="BD46" s="79" t="s">
        <v>1780</v>
      </c>
      <c r="BO46" s="77" t="b">
        <v>0</v>
      </c>
      <c r="BT46" s="84" t="e">
        <v>#REF!</v>
      </c>
      <c r="BU46" s="84" t="e">
        <v>#REF!</v>
      </c>
      <c r="BV46" s="77" t="str">
        <f>A46 &amp; "-" &amp; TEXT(B46, "jj/mm/aaaa") &amp; "-" &amp; COUNTIF($A$2:A223, A46)</f>
        <v>FH578RX-05/03/2024-1</v>
      </c>
      <c r="BX46" s="77" t="str">
        <v>CN314MZ</v>
      </c>
    </row>
    <row r="47" spans="1:76" x14ac:dyDescent="0.2">
      <c r="A47" s="77" t="s">
        <v>1781</v>
      </c>
      <c r="B47" s="88">
        <v>45356.399525462963</v>
      </c>
      <c r="C47" s="77" t="s">
        <v>1782</v>
      </c>
      <c r="D47" s="77" t="s">
        <v>957</v>
      </c>
      <c r="E47" s="77" t="b">
        <v>1</v>
      </c>
      <c r="F47" s="77" t="b">
        <v>1</v>
      </c>
      <c r="G47" s="77" t="b">
        <v>1</v>
      </c>
      <c r="H47" s="77" t="b">
        <v>1</v>
      </c>
      <c r="I47" s="77" t="s">
        <v>447</v>
      </c>
      <c r="J47" s="77" t="s">
        <v>1104</v>
      </c>
      <c r="K47" s="77" t="s">
        <v>256</v>
      </c>
      <c r="L47" s="77" t="s">
        <v>111</v>
      </c>
      <c r="M47" s="77" t="s">
        <v>406</v>
      </c>
      <c r="N47" s="86">
        <v>179480</v>
      </c>
      <c r="BC47" s="79" t="s">
        <v>1785</v>
      </c>
      <c r="BO47" s="77" t="b">
        <v>0</v>
      </c>
      <c r="BT47" s="84" t="e">
        <v>#REF!</v>
      </c>
      <c r="BU47" s="84" t="e">
        <v>#REF!</v>
      </c>
      <c r="BV47" s="77" t="str">
        <f>A47 &amp; "-" &amp; TEXT(B47, "jj/mm/aaaa") &amp; "-" &amp; COUNTIF($A$2:A223, A47)</f>
        <v>DY757RJ-05/03/2024-1</v>
      </c>
      <c r="BX47" s="77" t="str">
        <v>CN644SP</v>
      </c>
    </row>
    <row r="48" spans="1:76" x14ac:dyDescent="0.2">
      <c r="A48" s="77" t="s">
        <v>1786</v>
      </c>
      <c r="B48" s="88">
        <v>45356.414282407408</v>
      </c>
      <c r="E48" s="77" t="b">
        <v>1</v>
      </c>
      <c r="F48" s="77" t="b">
        <v>1</v>
      </c>
      <c r="G48" s="77" t="b">
        <v>1</v>
      </c>
      <c r="H48" s="77" t="b">
        <v>0</v>
      </c>
      <c r="I48" s="77" t="s">
        <v>1647</v>
      </c>
      <c r="J48" s="77" t="s">
        <v>1173</v>
      </c>
      <c r="K48" s="77" t="s">
        <v>1792</v>
      </c>
      <c r="L48" s="77" t="s">
        <v>1788</v>
      </c>
      <c r="M48" s="77" t="s">
        <v>1789</v>
      </c>
      <c r="BC48" s="79" t="s">
        <v>1793</v>
      </c>
      <c r="BO48" s="77" t="b">
        <v>0</v>
      </c>
      <c r="BT48" s="84" t="e">
        <v>#REF!</v>
      </c>
      <c r="BU48" s="84" t="e">
        <v>#REF!</v>
      </c>
      <c r="BV48" s="77" t="str">
        <f>A48 &amp; "-" &amp; TEXT(B48, "jj/mm/aaaa") &amp; "-" &amp; COUNTIF($A$2:A223, A48)</f>
        <v>CZ327PE-05/03/2024-1</v>
      </c>
      <c r="BX48" s="77" t="str">
        <v>CP685NS</v>
      </c>
    </row>
    <row r="49" spans="1:76" x14ac:dyDescent="0.2">
      <c r="A49" s="77" t="s">
        <v>1800</v>
      </c>
      <c r="B49" s="88">
        <v>45357.606585648151</v>
      </c>
      <c r="C49" s="77" t="s">
        <v>1013</v>
      </c>
      <c r="E49" s="77" t="b">
        <v>1</v>
      </c>
      <c r="F49" s="77" t="b">
        <v>0</v>
      </c>
      <c r="G49" s="77" t="b">
        <v>0</v>
      </c>
      <c r="H49" s="77" t="b">
        <v>0</v>
      </c>
      <c r="I49" s="77" t="s">
        <v>302</v>
      </c>
      <c r="J49" s="77" t="s">
        <v>1136</v>
      </c>
      <c r="K49" s="77" t="s">
        <v>204</v>
      </c>
      <c r="L49" s="77" t="s">
        <v>1788</v>
      </c>
      <c r="M49" s="77" t="s">
        <v>167</v>
      </c>
      <c r="BC49" s="79" t="s">
        <v>1803</v>
      </c>
      <c r="BD49" s="79" t="s">
        <v>1804</v>
      </c>
      <c r="BO49" s="77" t="b">
        <v>0</v>
      </c>
      <c r="BT49" s="84" t="e">
        <v>#REF!</v>
      </c>
      <c r="BU49" s="84" t="e">
        <v>#REF!</v>
      </c>
      <c r="BV49" s="77" t="str">
        <f>A49 &amp; "-" &amp; TEXT(B49, "jj/mm/aaaa") &amp; "-" &amp; COUNTIF($A$2:A223, A49)</f>
        <v>FE944RD-06/03/2024-1</v>
      </c>
      <c r="BX49" s="77" t="str">
        <v>CQ662QT</v>
      </c>
    </row>
    <row r="50" spans="1:76" x14ac:dyDescent="0.2">
      <c r="A50" s="77" t="s">
        <v>1805</v>
      </c>
      <c r="B50" s="88">
        <v>45363.474699074075</v>
      </c>
      <c r="C50" s="77" t="s">
        <v>1806</v>
      </c>
      <c r="D50" s="77" t="s">
        <v>959</v>
      </c>
      <c r="E50" s="77" t="b">
        <v>1</v>
      </c>
      <c r="F50" s="77" t="b">
        <v>0</v>
      </c>
      <c r="G50" s="77" t="b">
        <v>0</v>
      </c>
      <c r="H50" s="77" t="b">
        <v>0</v>
      </c>
      <c r="I50" s="77" t="s">
        <v>1808</v>
      </c>
      <c r="J50" s="77" t="s">
        <v>1611</v>
      </c>
      <c r="K50" s="77" t="s">
        <v>1461</v>
      </c>
      <c r="L50" s="77" t="s">
        <v>128</v>
      </c>
      <c r="M50" s="77" t="s">
        <v>706</v>
      </c>
      <c r="N50" s="86">
        <v>119741</v>
      </c>
      <c r="O50" s="77" t="s">
        <v>1809</v>
      </c>
      <c r="P50" s="77" t="s">
        <v>1448</v>
      </c>
      <c r="Q50" s="77" t="s">
        <v>1448</v>
      </c>
      <c r="R50" s="77" t="s">
        <v>1448</v>
      </c>
      <c r="S50" s="77" t="s">
        <v>1448</v>
      </c>
      <c r="T50" s="77" t="s">
        <v>1448</v>
      </c>
      <c r="U50" s="77" t="s">
        <v>1448</v>
      </c>
      <c r="V50" s="77" t="s">
        <v>1449</v>
      </c>
      <c r="W50" s="77" t="s">
        <v>1448</v>
      </c>
      <c r="X50" s="77" t="s">
        <v>1448</v>
      </c>
      <c r="Y50" s="77" t="s">
        <v>1448</v>
      </c>
      <c r="Z50" s="77" t="s">
        <v>1448</v>
      </c>
      <c r="AA50" s="77" t="s">
        <v>1448</v>
      </c>
      <c r="AB50" s="77" t="s">
        <v>1448</v>
      </c>
      <c r="AC50" s="77" t="s">
        <v>1448</v>
      </c>
      <c r="AD50" s="77" t="s">
        <v>1448</v>
      </c>
      <c r="AE50" s="77" t="s">
        <v>1448</v>
      </c>
      <c r="AF50" s="77" t="s">
        <v>1448</v>
      </c>
      <c r="AG50" s="77" t="s">
        <v>1449</v>
      </c>
      <c r="AH50" s="77" t="s">
        <v>1448</v>
      </c>
      <c r="AI50" s="77" t="s">
        <v>1448</v>
      </c>
      <c r="AJ50" s="77" t="s">
        <v>1448</v>
      </c>
      <c r="AK50" s="77" t="s">
        <v>1448</v>
      </c>
      <c r="AL50" s="77" t="s">
        <v>1448</v>
      </c>
      <c r="AM50" s="77" t="s">
        <v>1448</v>
      </c>
      <c r="AN50" s="77" t="s">
        <v>1448</v>
      </c>
      <c r="AO50" s="77" t="s">
        <v>1448</v>
      </c>
      <c r="AP50" s="77" t="s">
        <v>1448</v>
      </c>
      <c r="AQ50" s="77" t="s">
        <v>1448</v>
      </c>
      <c r="AR50" s="77" t="s">
        <v>1448</v>
      </c>
      <c r="AS50" s="77" t="s">
        <v>1448</v>
      </c>
      <c r="AT50" s="77" t="s">
        <v>1448</v>
      </c>
      <c r="AU50" s="77" t="s">
        <v>1448</v>
      </c>
      <c r="AV50" s="77" t="s">
        <v>1448</v>
      </c>
      <c r="AW50" s="77" t="s">
        <v>1448</v>
      </c>
      <c r="AX50" s="77" t="s">
        <v>1448</v>
      </c>
      <c r="AY50" s="77" t="s">
        <v>1448</v>
      </c>
      <c r="AZ50" s="77" t="s">
        <v>1448</v>
      </c>
      <c r="BA50" s="77" t="s">
        <v>1448</v>
      </c>
      <c r="BB50" s="77" t="s">
        <v>1448</v>
      </c>
      <c r="BC50" s="79" t="s">
        <v>1810</v>
      </c>
      <c r="BD50" s="79" t="s">
        <v>1811</v>
      </c>
      <c r="BE50" s="79" t="s">
        <v>1812</v>
      </c>
      <c r="BO50" s="77" t="b">
        <v>0</v>
      </c>
      <c r="BT50" s="84" t="e">
        <v>#REF!</v>
      </c>
      <c r="BU50" s="84" t="e">
        <v>#REF!</v>
      </c>
      <c r="BV50" s="77" t="str">
        <f>A50 &amp; "-" &amp; TEXT(B50, "jj/mm/aaaa") &amp; "-" &amp; COUNTIF($A$2:A223, A50)</f>
        <v>DB011FD-12/03/2024-1</v>
      </c>
      <c r="BX50" s="77" t="str">
        <v>CR653AX</v>
      </c>
    </row>
    <row r="51" spans="1:76" x14ac:dyDescent="0.2">
      <c r="A51" s="77" t="s">
        <v>330</v>
      </c>
      <c r="B51" s="88">
        <v>45363.482592592591</v>
      </c>
      <c r="C51" s="77" t="s">
        <v>1003</v>
      </c>
      <c r="D51" s="77" t="s">
        <v>958</v>
      </c>
      <c r="E51" s="77" t="b">
        <v>1</v>
      </c>
      <c r="F51" s="77" t="b">
        <v>1</v>
      </c>
      <c r="G51" s="77" t="b">
        <v>1</v>
      </c>
      <c r="H51" s="77" t="b">
        <v>1</v>
      </c>
      <c r="I51" s="77" t="s">
        <v>93</v>
      </c>
      <c r="K51" s="77" t="s">
        <v>331</v>
      </c>
      <c r="L51" s="77" t="s">
        <v>122</v>
      </c>
      <c r="M51" s="77" t="s">
        <v>332</v>
      </c>
      <c r="N51" s="86">
        <v>269412</v>
      </c>
      <c r="O51" s="83">
        <v>45905</v>
      </c>
      <c r="P51" s="77" t="s">
        <v>1448</v>
      </c>
      <c r="Q51" s="77" t="s">
        <v>1448</v>
      </c>
      <c r="R51" s="77" t="s">
        <v>1449</v>
      </c>
      <c r="S51" s="77" t="s">
        <v>1448</v>
      </c>
      <c r="T51" s="77" t="s">
        <v>1448</v>
      </c>
      <c r="U51" s="77" t="s">
        <v>1448</v>
      </c>
      <c r="V51" s="77" t="s">
        <v>1449</v>
      </c>
      <c r="W51" s="77" t="s">
        <v>1449</v>
      </c>
      <c r="X51" s="77" t="s">
        <v>1448</v>
      </c>
      <c r="Y51" s="77" t="s">
        <v>1448</v>
      </c>
      <c r="Z51" s="77" t="s">
        <v>1448</v>
      </c>
      <c r="AA51" s="77" t="s">
        <v>1448</v>
      </c>
      <c r="AB51" s="77" t="s">
        <v>1448</v>
      </c>
      <c r="AC51" s="77" t="s">
        <v>1448</v>
      </c>
      <c r="AD51" s="77" t="s">
        <v>1449</v>
      </c>
      <c r="AE51" s="77" t="s">
        <v>1448</v>
      </c>
      <c r="AF51" s="77" t="s">
        <v>1448</v>
      </c>
      <c r="AG51" s="77" t="s">
        <v>1448</v>
      </c>
      <c r="AH51" s="77" t="s">
        <v>1448</v>
      </c>
      <c r="AI51" s="77" t="s">
        <v>1448</v>
      </c>
      <c r="AJ51" s="77" t="s">
        <v>1449</v>
      </c>
      <c r="AK51" s="77" t="s">
        <v>1448</v>
      </c>
      <c r="AL51" s="77" t="s">
        <v>1448</v>
      </c>
      <c r="AM51" s="77" t="s">
        <v>1448</v>
      </c>
      <c r="AN51" s="77" t="s">
        <v>1448</v>
      </c>
      <c r="AO51" s="77" t="s">
        <v>1448</v>
      </c>
      <c r="AP51" s="77" t="s">
        <v>1448</v>
      </c>
      <c r="AQ51" s="77" t="s">
        <v>1448</v>
      </c>
      <c r="AR51" s="77" t="s">
        <v>1448</v>
      </c>
      <c r="AS51" s="77" t="s">
        <v>1448</v>
      </c>
      <c r="AT51" s="77" t="s">
        <v>1448</v>
      </c>
      <c r="AU51" s="77" t="s">
        <v>1448</v>
      </c>
      <c r="AV51" s="77" t="s">
        <v>1448</v>
      </c>
      <c r="AW51" s="77" t="s">
        <v>1448</v>
      </c>
      <c r="AX51" s="77" t="s">
        <v>1448</v>
      </c>
      <c r="AY51" s="77" t="s">
        <v>1448</v>
      </c>
      <c r="AZ51" s="77" t="s">
        <v>1448</v>
      </c>
      <c r="BA51" s="77" t="s">
        <v>1449</v>
      </c>
      <c r="BB51" s="77" t="s">
        <v>1448</v>
      </c>
      <c r="BC51" s="79" t="s">
        <v>1813</v>
      </c>
      <c r="BD51" s="79" t="s">
        <v>1814</v>
      </c>
      <c r="BE51" s="79" t="s">
        <v>1815</v>
      </c>
      <c r="BF51" s="79" t="s">
        <v>1816</v>
      </c>
      <c r="BG51" s="79" t="s">
        <v>1817</v>
      </c>
      <c r="BH51" s="79" t="s">
        <v>1818</v>
      </c>
      <c r="BO51" s="77" t="b">
        <v>0</v>
      </c>
      <c r="BT51" s="84" t="e">
        <v>#REF!</v>
      </c>
      <c r="BU51" s="84" t="e">
        <v>#REF!</v>
      </c>
      <c r="BV51" s="77" t="str">
        <f>A51 &amp; "-" &amp; TEXT(B51, "jj/mm/aaaa") &amp; "-" &amp; COUNTIF($A$2:A223, A51)</f>
        <v>CX450BX-12/03/2024-2</v>
      </c>
      <c r="BX51" s="77" t="str">
        <v>CS047VY</v>
      </c>
    </row>
    <row r="52" spans="1:76" x14ac:dyDescent="0.2">
      <c r="A52" s="77" t="s">
        <v>1819</v>
      </c>
      <c r="B52" s="88">
        <v>45363.490740740737</v>
      </c>
      <c r="C52" s="77" t="s">
        <v>1820</v>
      </c>
      <c r="D52" s="77" t="s">
        <v>958</v>
      </c>
      <c r="E52" s="77" t="b">
        <v>0</v>
      </c>
      <c r="F52" s="77" t="b">
        <v>0</v>
      </c>
      <c r="G52" s="77" t="b">
        <v>0</v>
      </c>
      <c r="H52" s="77" t="b">
        <v>0</v>
      </c>
      <c r="BO52" s="77" t="b">
        <v>0</v>
      </c>
      <c r="BT52" s="84" t="e">
        <v>#REF!</v>
      </c>
      <c r="BU52" s="84" t="e">
        <v>#REF!</v>
      </c>
      <c r="BV52" s="77" t="str">
        <f>A52 &amp; "-" &amp; TEXT(B52, "jj/mm/aaaa") &amp; "-" &amp; COUNTIF($A$2:A223, A52)</f>
        <v>AR644JW-12/03/2024-1</v>
      </c>
      <c r="BX52" s="77" t="str">
        <v>CT336WE</v>
      </c>
    </row>
    <row r="53" spans="1:76" x14ac:dyDescent="0.2">
      <c r="A53" s="77" t="s">
        <v>1821</v>
      </c>
      <c r="B53" s="88">
        <v>45363.495810185188</v>
      </c>
      <c r="C53" s="77" t="s">
        <v>1822</v>
      </c>
      <c r="D53" s="77" t="s">
        <v>957</v>
      </c>
      <c r="E53" s="77" t="b">
        <v>1</v>
      </c>
      <c r="F53" s="77" t="b">
        <v>1</v>
      </c>
      <c r="G53" s="77" t="b">
        <v>0</v>
      </c>
      <c r="H53" s="77" t="b">
        <v>0</v>
      </c>
      <c r="I53" s="77" t="s">
        <v>1707</v>
      </c>
      <c r="J53" s="77" t="s">
        <v>1706</v>
      </c>
      <c r="K53" s="77" t="s">
        <v>114</v>
      </c>
      <c r="L53" s="77" t="s">
        <v>1788</v>
      </c>
      <c r="M53" s="77" t="s">
        <v>1823</v>
      </c>
      <c r="N53" s="86">
        <v>343252</v>
      </c>
      <c r="BC53" s="79" t="s">
        <v>1827</v>
      </c>
      <c r="BD53" s="79" t="s">
        <v>1828</v>
      </c>
      <c r="BO53" s="77" t="b">
        <v>0</v>
      </c>
      <c r="BT53" s="84" t="e">
        <v>#REF!</v>
      </c>
      <c r="BU53" s="84" t="e">
        <v>#REF!</v>
      </c>
      <c r="BV53" s="77" t="str">
        <f>A53 &amp; "-" &amp; TEXT(B53, "jj/mm/aaaa") &amp; "-" &amp; COUNTIF($A$2:A223, A53)</f>
        <v>CV741VA-12/03/2024-1</v>
      </c>
      <c r="BX53" s="77" t="str">
        <v>CT797MX</v>
      </c>
    </row>
    <row r="54" spans="1:76" x14ac:dyDescent="0.2">
      <c r="A54" s="77" t="s">
        <v>1829</v>
      </c>
      <c r="B54" s="88">
        <v>45363.599363425928</v>
      </c>
      <c r="C54" s="77" t="s">
        <v>1013</v>
      </c>
      <c r="D54" s="77" t="s">
        <v>959</v>
      </c>
      <c r="E54" s="77" t="b">
        <v>1</v>
      </c>
      <c r="F54" s="77" t="b">
        <v>1</v>
      </c>
      <c r="G54" s="77" t="b">
        <v>1</v>
      </c>
      <c r="H54" s="77" t="b">
        <v>0</v>
      </c>
      <c r="I54" s="77" t="s">
        <v>302</v>
      </c>
      <c r="J54" s="77" t="s">
        <v>1834</v>
      </c>
      <c r="K54" s="77" t="s">
        <v>81</v>
      </c>
      <c r="L54" s="77" t="s">
        <v>213</v>
      </c>
      <c r="M54" s="77" t="s">
        <v>1830</v>
      </c>
      <c r="N54" s="86">
        <v>57839</v>
      </c>
      <c r="O54" s="83">
        <v>45963</v>
      </c>
      <c r="P54" s="77" t="s">
        <v>1448</v>
      </c>
      <c r="Q54" s="77" t="s">
        <v>1448</v>
      </c>
      <c r="R54" s="77" t="s">
        <v>1448</v>
      </c>
      <c r="S54" s="77" t="s">
        <v>1448</v>
      </c>
      <c r="T54" s="77" t="s">
        <v>1448</v>
      </c>
      <c r="U54" s="77" t="s">
        <v>1448</v>
      </c>
      <c r="V54" s="77" t="s">
        <v>1448</v>
      </c>
      <c r="W54" s="77" t="s">
        <v>1448</v>
      </c>
      <c r="X54" s="77" t="s">
        <v>1448</v>
      </c>
      <c r="Y54" s="77" t="s">
        <v>1448</v>
      </c>
      <c r="Z54" s="77" t="s">
        <v>1449</v>
      </c>
      <c r="AA54" s="77" t="s">
        <v>1448</v>
      </c>
      <c r="AB54" s="77" t="s">
        <v>1448</v>
      </c>
      <c r="AC54" s="77" t="s">
        <v>1448</v>
      </c>
      <c r="AD54" s="77" t="s">
        <v>1448</v>
      </c>
      <c r="AE54" s="77" t="s">
        <v>1448</v>
      </c>
      <c r="AF54" s="77" t="s">
        <v>1448</v>
      </c>
      <c r="AG54" s="77" t="s">
        <v>1448</v>
      </c>
      <c r="AH54" s="77" t="s">
        <v>1448</v>
      </c>
      <c r="AI54" s="77" t="s">
        <v>1448</v>
      </c>
      <c r="AJ54" s="77" t="s">
        <v>1448</v>
      </c>
      <c r="AK54" s="77" t="s">
        <v>1448</v>
      </c>
      <c r="AL54" s="77" t="s">
        <v>1448</v>
      </c>
      <c r="AM54" s="77" t="s">
        <v>1448</v>
      </c>
      <c r="AN54" s="77" t="s">
        <v>1448</v>
      </c>
      <c r="AO54" s="77" t="s">
        <v>1448</v>
      </c>
      <c r="AP54" s="77" t="s">
        <v>1448</v>
      </c>
      <c r="AQ54" s="77" t="s">
        <v>1448</v>
      </c>
      <c r="AR54" s="77" t="s">
        <v>1448</v>
      </c>
      <c r="AS54" s="77" t="s">
        <v>1448</v>
      </c>
      <c r="AT54" s="77" t="s">
        <v>1448</v>
      </c>
      <c r="AU54" s="77" t="s">
        <v>1448</v>
      </c>
      <c r="AV54" s="77" t="s">
        <v>1448</v>
      </c>
      <c r="AW54" s="77" t="s">
        <v>1448</v>
      </c>
      <c r="AX54" s="77" t="s">
        <v>1448</v>
      </c>
      <c r="AY54" s="77" t="s">
        <v>1448</v>
      </c>
      <c r="AZ54" s="77" t="s">
        <v>1448</v>
      </c>
      <c r="BA54" s="77" t="s">
        <v>1448</v>
      </c>
      <c r="BB54" s="77" t="s">
        <v>1448</v>
      </c>
      <c r="BC54" s="79" t="s">
        <v>1836</v>
      </c>
      <c r="BO54" s="77" t="b">
        <v>0</v>
      </c>
      <c r="BT54" s="84" t="e">
        <v>#REF!</v>
      </c>
      <c r="BU54" s="84" t="e">
        <v>#REF!</v>
      </c>
      <c r="BV54" s="77" t="str">
        <f>A54 &amp; "-" &amp; TEXT(B54, "jj/mm/aaaa") &amp; "-" &amp; COUNTIF($A$2:A223, A54)</f>
        <v>FG965CT-12/03/2024-1</v>
      </c>
      <c r="BX54" s="77" t="str">
        <v>CV741VA</v>
      </c>
    </row>
    <row r="55" spans="1:76" x14ac:dyDescent="0.2">
      <c r="A55" s="77" t="s">
        <v>585</v>
      </c>
      <c r="B55" s="88">
        <v>45363.606203703705</v>
      </c>
      <c r="C55" s="77" t="s">
        <v>392</v>
      </c>
      <c r="D55" s="77" t="s">
        <v>957</v>
      </c>
      <c r="E55" s="77" t="b">
        <v>0</v>
      </c>
      <c r="F55" s="77" t="b">
        <v>0</v>
      </c>
      <c r="G55" s="77" t="b">
        <v>0</v>
      </c>
      <c r="H55" s="77" t="b">
        <v>0</v>
      </c>
      <c r="I55" s="77" t="s">
        <v>78</v>
      </c>
      <c r="J55" s="77">
        <v>25</v>
      </c>
      <c r="K55" s="77" t="s">
        <v>581</v>
      </c>
      <c r="L55" s="77" t="s">
        <v>173</v>
      </c>
      <c r="M55" s="77" t="s">
        <v>504</v>
      </c>
      <c r="N55" s="86">
        <v>121650</v>
      </c>
      <c r="BC55" s="79" t="s">
        <v>1835</v>
      </c>
      <c r="BO55" s="77" t="b">
        <v>0</v>
      </c>
      <c r="BT55" s="84" t="e">
        <v>#REF!</v>
      </c>
      <c r="BU55" s="84" t="e">
        <v>#REF!</v>
      </c>
      <c r="BV55" s="77" t="str">
        <f>A55 &amp; "-" &amp; TEXT(B55, "jj/mm/aaaa") &amp; "-" &amp; COUNTIF($A$2:A223, A55)</f>
        <v>EP634KN-12/03/2024-2</v>
      </c>
      <c r="BX55" s="77" t="str">
        <v>CW327GZ</v>
      </c>
    </row>
    <row r="56" spans="1:76" x14ac:dyDescent="0.2">
      <c r="A56" s="77" t="s">
        <v>1837</v>
      </c>
      <c r="B56" s="88">
        <v>45364.393148148149</v>
      </c>
      <c r="C56" s="77" t="s">
        <v>1838</v>
      </c>
      <c r="D56" s="77" t="s">
        <v>957</v>
      </c>
      <c r="E56" s="77" t="b">
        <v>0</v>
      </c>
      <c r="F56" s="77" t="b">
        <v>0</v>
      </c>
      <c r="G56" s="77" t="b">
        <v>0</v>
      </c>
      <c r="H56" s="77" t="b">
        <v>0</v>
      </c>
      <c r="I56" s="77" t="s">
        <v>238</v>
      </c>
      <c r="K56" s="77" t="s">
        <v>1843</v>
      </c>
      <c r="L56" s="77" t="s">
        <v>1685</v>
      </c>
      <c r="M56" s="77">
        <v>508</v>
      </c>
      <c r="BC56" s="79" t="s">
        <v>1853</v>
      </c>
      <c r="BD56" s="79" t="s">
        <v>1844</v>
      </c>
      <c r="BO56" s="77" t="b">
        <v>0</v>
      </c>
      <c r="BT56" s="84" t="e">
        <v>#REF!</v>
      </c>
      <c r="BU56" s="84" t="e">
        <v>#REF!</v>
      </c>
      <c r="BV56" s="77" t="str">
        <f>A56 &amp; "-" &amp; TEXT(B56, "jj/mm/aaaa") &amp; "-" &amp; COUNTIF($A$2:A223, A56)</f>
        <v>DX167KJ-13/03/2024-1</v>
      </c>
      <c r="BX56" s="77" t="str">
        <v>CW658MW</v>
      </c>
    </row>
    <row r="57" spans="1:76" x14ac:dyDescent="0.2">
      <c r="A57" s="77" t="s">
        <v>1845</v>
      </c>
      <c r="B57" s="88">
        <v>45364.453796296293</v>
      </c>
      <c r="C57" s="77" t="s">
        <v>565</v>
      </c>
      <c r="D57" s="77" t="s">
        <v>959</v>
      </c>
      <c r="E57" s="77" t="b">
        <v>1</v>
      </c>
      <c r="F57" s="77" t="b">
        <v>0</v>
      </c>
      <c r="G57" s="77" t="b">
        <v>0</v>
      </c>
      <c r="H57" s="77" t="b">
        <v>0</v>
      </c>
      <c r="I57" s="77" t="s">
        <v>1707</v>
      </c>
      <c r="K57" s="77" t="s">
        <v>256</v>
      </c>
      <c r="L57" s="77" t="s">
        <v>1685</v>
      </c>
      <c r="M57" s="77" t="s">
        <v>1847</v>
      </c>
      <c r="N57" s="86">
        <v>51975</v>
      </c>
      <c r="O57" s="77" t="s">
        <v>1854</v>
      </c>
      <c r="P57" s="77" t="s">
        <v>1448</v>
      </c>
      <c r="Q57" s="77" t="s">
        <v>1448</v>
      </c>
      <c r="R57" s="77" t="s">
        <v>1448</v>
      </c>
      <c r="S57" s="77" t="s">
        <v>1448</v>
      </c>
      <c r="T57" s="77" t="s">
        <v>1448</v>
      </c>
      <c r="U57" s="77" t="s">
        <v>1448</v>
      </c>
      <c r="V57" s="77" t="s">
        <v>1448</v>
      </c>
      <c r="W57" s="77" t="s">
        <v>1448</v>
      </c>
      <c r="X57" s="77" t="s">
        <v>1448</v>
      </c>
      <c r="Y57" s="77" t="s">
        <v>1448</v>
      </c>
      <c r="Z57" s="77" t="s">
        <v>1448</v>
      </c>
      <c r="AA57" s="77" t="s">
        <v>1448</v>
      </c>
      <c r="AB57" s="77" t="s">
        <v>1448</v>
      </c>
      <c r="AC57" s="77" t="s">
        <v>1448</v>
      </c>
      <c r="AD57" s="77" t="s">
        <v>1448</v>
      </c>
      <c r="AE57" s="77" t="s">
        <v>1448</v>
      </c>
      <c r="AF57" s="77" t="s">
        <v>1448</v>
      </c>
      <c r="AG57" s="77" t="s">
        <v>1448</v>
      </c>
      <c r="AH57" s="77" t="s">
        <v>1448</v>
      </c>
      <c r="AI57" s="77" t="s">
        <v>1448</v>
      </c>
      <c r="AJ57" s="77" t="s">
        <v>1448</v>
      </c>
      <c r="AK57" s="77" t="s">
        <v>1448</v>
      </c>
      <c r="AL57" s="77" t="s">
        <v>1450</v>
      </c>
      <c r="AM57" s="77" t="s">
        <v>1448</v>
      </c>
      <c r="AN57" s="77" t="s">
        <v>1448</v>
      </c>
      <c r="AO57" s="77" t="s">
        <v>1448</v>
      </c>
      <c r="AP57" s="77" t="s">
        <v>1450</v>
      </c>
      <c r="AQ57" s="77" t="s">
        <v>1448</v>
      </c>
      <c r="AR57" s="77" t="s">
        <v>1448</v>
      </c>
      <c r="AS57" s="77" t="s">
        <v>1448</v>
      </c>
      <c r="AT57" s="77" t="s">
        <v>1448</v>
      </c>
      <c r="AU57" s="77" t="s">
        <v>1448</v>
      </c>
      <c r="AV57" s="77" t="s">
        <v>1448</v>
      </c>
      <c r="AW57" s="77" t="s">
        <v>1448</v>
      </c>
      <c r="AX57" s="77" t="s">
        <v>1448</v>
      </c>
      <c r="AY57" s="77" t="s">
        <v>1448</v>
      </c>
      <c r="AZ57" s="77" t="s">
        <v>1448</v>
      </c>
      <c r="BA57" s="77" t="s">
        <v>1448</v>
      </c>
      <c r="BB57" s="77" t="s">
        <v>1448</v>
      </c>
      <c r="BC57" s="79" t="s">
        <v>1849</v>
      </c>
      <c r="BD57" s="79" t="s">
        <v>1850</v>
      </c>
      <c r="BE57" s="79" t="s">
        <v>1855</v>
      </c>
      <c r="BO57" s="77" t="b">
        <v>0</v>
      </c>
      <c r="BT57" s="84" t="e">
        <v>#REF!</v>
      </c>
      <c r="BU57" s="84" t="e">
        <v>#REF!</v>
      </c>
      <c r="BV57" s="77" t="str">
        <f>A57 &amp; "-" &amp; TEXT(B57, "jj/mm/aaaa") &amp; "-" &amp; COUNTIF($A$2:A223, A57)</f>
        <v>FF213YX-13/03/2024-1</v>
      </c>
      <c r="BX57" s="77" t="str">
        <v>CX450BX</v>
      </c>
    </row>
    <row r="58" spans="1:76" x14ac:dyDescent="0.2">
      <c r="A58" s="77" t="s">
        <v>543</v>
      </c>
      <c r="B58" s="88">
        <v>45364.467824074076</v>
      </c>
      <c r="C58" s="77" t="s">
        <v>270</v>
      </c>
      <c r="D58" s="77" t="s">
        <v>957</v>
      </c>
      <c r="E58" s="77" t="b">
        <v>1</v>
      </c>
      <c r="F58" s="77" t="b">
        <v>0</v>
      </c>
      <c r="G58" s="77" t="b">
        <v>0</v>
      </c>
      <c r="H58" s="77" t="b">
        <v>0</v>
      </c>
      <c r="I58" s="77" t="s">
        <v>238</v>
      </c>
      <c r="J58" s="77">
        <v>30</v>
      </c>
      <c r="K58" s="77" t="s">
        <v>544</v>
      </c>
      <c r="L58" s="77" t="s">
        <v>228</v>
      </c>
      <c r="M58" s="77" t="s">
        <v>229</v>
      </c>
      <c r="N58" s="86">
        <v>143274</v>
      </c>
      <c r="BC58" s="79" t="s">
        <v>1851</v>
      </c>
      <c r="BO58" s="77" t="b">
        <v>0</v>
      </c>
      <c r="BT58" s="84" t="e">
        <v>#REF!</v>
      </c>
      <c r="BU58" s="84" t="e">
        <v>#REF!</v>
      </c>
      <c r="BV58" s="77" t="str">
        <f>A58 &amp; "-" &amp; TEXT(B58, "jj/mm/aaaa") &amp; "-" &amp; COUNTIF($A$2:A223, A58)</f>
        <v>EK158WL-13/03/2024-1</v>
      </c>
      <c r="BX58" s="77" t="str">
        <v>CY047SP</v>
      </c>
    </row>
    <row r="59" spans="1:76" x14ac:dyDescent="0.2">
      <c r="A59" s="77" t="s">
        <v>1856</v>
      </c>
      <c r="B59" s="88">
        <v>45364.674444444441</v>
      </c>
      <c r="C59" s="77" t="s">
        <v>1013</v>
      </c>
      <c r="D59" s="77" t="s">
        <v>958</v>
      </c>
      <c r="E59" s="77" t="b">
        <v>0</v>
      </c>
      <c r="F59" s="77" t="b">
        <v>0</v>
      </c>
      <c r="G59" s="77" t="b">
        <v>0</v>
      </c>
      <c r="H59" s="77" t="b">
        <v>0</v>
      </c>
      <c r="I59" s="77" t="s">
        <v>1860</v>
      </c>
      <c r="K59" s="77" t="s">
        <v>1859</v>
      </c>
      <c r="L59" s="77" t="s">
        <v>1857</v>
      </c>
      <c r="M59" s="77" t="s">
        <v>771</v>
      </c>
      <c r="N59" s="86">
        <v>39543</v>
      </c>
      <c r="P59" s="77" t="s">
        <v>1448</v>
      </c>
      <c r="Q59" s="77" t="s">
        <v>1448</v>
      </c>
      <c r="R59" s="77" t="s">
        <v>1448</v>
      </c>
      <c r="S59" s="77" t="s">
        <v>1448</v>
      </c>
      <c r="T59" s="77" t="s">
        <v>1448</v>
      </c>
      <c r="U59" s="77" t="s">
        <v>1448</v>
      </c>
      <c r="V59" s="77" t="s">
        <v>1448</v>
      </c>
      <c r="W59" s="77" t="s">
        <v>1448</v>
      </c>
      <c r="X59" s="77" t="s">
        <v>1448</v>
      </c>
      <c r="Y59" s="77" t="s">
        <v>1448</v>
      </c>
      <c r="Z59" s="77" t="s">
        <v>1448</v>
      </c>
      <c r="AA59" s="77" t="s">
        <v>1448</v>
      </c>
      <c r="AB59" s="77" t="s">
        <v>1448</v>
      </c>
      <c r="AC59" s="77" t="s">
        <v>1448</v>
      </c>
      <c r="AD59" s="77" t="s">
        <v>1448</v>
      </c>
      <c r="AE59" s="77" t="s">
        <v>1448</v>
      </c>
      <c r="AF59" s="77" t="s">
        <v>1448</v>
      </c>
      <c r="AG59" s="77" t="s">
        <v>1448</v>
      </c>
      <c r="AH59" s="77" t="s">
        <v>1448</v>
      </c>
      <c r="AI59" s="77" t="s">
        <v>1448</v>
      </c>
      <c r="AJ59" s="77" t="s">
        <v>1448</v>
      </c>
      <c r="AK59" s="77" t="s">
        <v>1448</v>
      </c>
      <c r="AL59" s="77" t="s">
        <v>1448</v>
      </c>
      <c r="AM59" s="77" t="s">
        <v>1448</v>
      </c>
      <c r="AN59" s="77" t="s">
        <v>1448</v>
      </c>
      <c r="AO59" s="77" t="s">
        <v>1448</v>
      </c>
      <c r="AP59" s="77" t="s">
        <v>1448</v>
      </c>
      <c r="AQ59" s="77" t="s">
        <v>1448</v>
      </c>
      <c r="AR59" s="77" t="s">
        <v>1448</v>
      </c>
      <c r="AS59" s="77" t="s">
        <v>1448</v>
      </c>
      <c r="AT59" s="77" t="s">
        <v>1448</v>
      </c>
      <c r="AU59" s="77" t="s">
        <v>1448</v>
      </c>
      <c r="AV59" s="77" t="s">
        <v>1448</v>
      </c>
      <c r="AW59" s="77" t="s">
        <v>1448</v>
      </c>
      <c r="AX59" s="77" t="s">
        <v>1448</v>
      </c>
      <c r="AY59" s="77" t="s">
        <v>1448</v>
      </c>
      <c r="AZ59" s="77" t="s">
        <v>1448</v>
      </c>
      <c r="BA59" s="77" t="s">
        <v>1448</v>
      </c>
      <c r="BB59" s="77" t="s">
        <v>1448</v>
      </c>
      <c r="BC59" s="79" t="s">
        <v>1880</v>
      </c>
      <c r="BD59" s="79" t="s">
        <v>1881</v>
      </c>
      <c r="BO59" s="77" t="b">
        <v>0</v>
      </c>
      <c r="BT59" s="84" t="e">
        <v>#REF!</v>
      </c>
      <c r="BU59" s="84" t="e">
        <v>#REF!</v>
      </c>
      <c r="BV59" s="77" t="str">
        <f>A59 &amp; "-" &amp; TEXT(B59, "jj/mm/aaaa") &amp; "-" &amp; COUNTIF($A$2:A223, A59)</f>
        <v>FL086SX-13/03/2024-1</v>
      </c>
      <c r="BX59" s="77" t="str">
        <v>CY278KK</v>
      </c>
    </row>
    <row r="60" spans="1:76" x14ac:dyDescent="0.2">
      <c r="A60" s="77" t="s">
        <v>1861</v>
      </c>
      <c r="B60" s="88">
        <v>45365.361493055556</v>
      </c>
      <c r="C60" s="77" t="s">
        <v>1862</v>
      </c>
      <c r="D60" s="77" t="s">
        <v>958</v>
      </c>
      <c r="E60" s="77" t="b">
        <v>1</v>
      </c>
      <c r="F60" s="77" t="b">
        <v>1</v>
      </c>
      <c r="G60" s="77" t="b">
        <v>1</v>
      </c>
      <c r="H60" s="77" t="b">
        <v>0</v>
      </c>
      <c r="I60" s="77" t="s">
        <v>78</v>
      </c>
      <c r="J60" s="77" t="s">
        <v>1484</v>
      </c>
      <c r="K60" s="77" t="s">
        <v>77</v>
      </c>
      <c r="L60" s="77" t="s">
        <v>120</v>
      </c>
      <c r="M60" s="77" t="s">
        <v>1863</v>
      </c>
      <c r="N60" s="86">
        <v>141390</v>
      </c>
      <c r="O60" s="77" t="s">
        <v>1872</v>
      </c>
      <c r="Q60" s="77" t="s">
        <v>1448</v>
      </c>
      <c r="R60" s="77" t="s">
        <v>1449</v>
      </c>
      <c r="S60" s="77" t="s">
        <v>1448</v>
      </c>
      <c r="T60" s="77" t="s">
        <v>1448</v>
      </c>
      <c r="U60" s="77" t="s">
        <v>1448</v>
      </c>
      <c r="V60" s="77" t="s">
        <v>1448</v>
      </c>
      <c r="W60" s="77" t="s">
        <v>1448</v>
      </c>
      <c r="X60" s="77" t="s">
        <v>1448</v>
      </c>
      <c r="Y60" s="77" t="s">
        <v>1448</v>
      </c>
      <c r="Z60" s="77" t="s">
        <v>1449</v>
      </c>
      <c r="AA60" s="77" t="s">
        <v>1448</v>
      </c>
      <c r="AB60" s="77" t="s">
        <v>1449</v>
      </c>
      <c r="AC60" s="77" t="s">
        <v>1448</v>
      </c>
      <c r="AD60" s="77" t="s">
        <v>1449</v>
      </c>
      <c r="AE60" s="77" t="s">
        <v>1448</v>
      </c>
      <c r="AF60" s="77" t="s">
        <v>1448</v>
      </c>
      <c r="AG60" s="77" t="s">
        <v>1448</v>
      </c>
      <c r="AH60" s="77" t="s">
        <v>1448</v>
      </c>
      <c r="AI60" s="77" t="s">
        <v>1448</v>
      </c>
      <c r="AJ60" s="77" t="s">
        <v>1448</v>
      </c>
      <c r="AK60" s="77" t="s">
        <v>1448</v>
      </c>
      <c r="AL60" s="77" t="s">
        <v>1448</v>
      </c>
      <c r="AM60" s="77" t="s">
        <v>1448</v>
      </c>
      <c r="AN60" s="77" t="s">
        <v>1448</v>
      </c>
      <c r="AO60" s="77" t="s">
        <v>1448</v>
      </c>
      <c r="AP60" s="77" t="s">
        <v>1448</v>
      </c>
      <c r="AQ60" s="77" t="s">
        <v>1448</v>
      </c>
      <c r="AR60" s="77" t="s">
        <v>1448</v>
      </c>
      <c r="AS60" s="77" t="s">
        <v>1448</v>
      </c>
      <c r="AT60" s="77" t="s">
        <v>1448</v>
      </c>
      <c r="AU60" s="77" t="s">
        <v>1448</v>
      </c>
      <c r="AV60" s="77" t="s">
        <v>1448</v>
      </c>
      <c r="AW60" s="77" t="s">
        <v>1448</v>
      </c>
      <c r="AX60" s="77" t="s">
        <v>1448</v>
      </c>
      <c r="AY60" s="77" t="s">
        <v>1448</v>
      </c>
      <c r="AZ60" s="77" t="s">
        <v>1448</v>
      </c>
      <c r="BA60" s="77" t="s">
        <v>1448</v>
      </c>
      <c r="BB60" s="77" t="s">
        <v>1448</v>
      </c>
      <c r="BC60" s="79" t="s">
        <v>1875</v>
      </c>
      <c r="BD60" s="79" t="s">
        <v>1876</v>
      </c>
      <c r="BE60" s="79" t="s">
        <v>1877</v>
      </c>
      <c r="BO60" s="77" t="b">
        <v>0</v>
      </c>
      <c r="BT60" s="84" t="e">
        <v>#REF!</v>
      </c>
      <c r="BU60" s="84" t="e">
        <v>#REF!</v>
      </c>
      <c r="BV60" s="77" t="str">
        <f>A60 &amp; "-" &amp; TEXT(B60, "jj/mm/aaaa") &amp; "-" &amp; COUNTIF($A$2:A223, A60)</f>
        <v>CM179EH-14/03/2024-2</v>
      </c>
      <c r="BX60" s="77" t="str">
        <v>CY540EV</v>
      </c>
    </row>
    <row r="61" spans="1:76" x14ac:dyDescent="0.2">
      <c r="A61" s="77" t="s">
        <v>1866</v>
      </c>
      <c r="B61" s="88">
        <v>45365.457789351851</v>
      </c>
      <c r="C61" s="77" t="s">
        <v>92</v>
      </c>
      <c r="D61" s="77" t="s">
        <v>958</v>
      </c>
      <c r="E61" s="77" t="b">
        <v>1</v>
      </c>
      <c r="F61" s="77" t="b">
        <v>1</v>
      </c>
      <c r="G61" s="77" t="b">
        <v>1</v>
      </c>
      <c r="H61" s="77" t="b">
        <v>0</v>
      </c>
      <c r="I61" s="77" t="s">
        <v>1871</v>
      </c>
      <c r="J61" s="77" t="s">
        <v>1869</v>
      </c>
      <c r="K61" s="77" t="s">
        <v>1870</v>
      </c>
      <c r="L61" s="77" t="s">
        <v>1867</v>
      </c>
      <c r="M61" s="77" t="s">
        <v>1868</v>
      </c>
      <c r="N61" s="86">
        <v>76866</v>
      </c>
      <c r="O61" s="83">
        <v>46082</v>
      </c>
      <c r="P61" s="77" t="s">
        <v>1448</v>
      </c>
      <c r="Q61" s="77" t="s">
        <v>1448</v>
      </c>
      <c r="R61" s="77" t="s">
        <v>1448</v>
      </c>
      <c r="S61" s="77" t="s">
        <v>1448</v>
      </c>
      <c r="T61" s="77" t="s">
        <v>1448</v>
      </c>
      <c r="U61" s="77" t="s">
        <v>1448</v>
      </c>
      <c r="V61" s="77" t="s">
        <v>1448</v>
      </c>
      <c r="W61" s="77" t="s">
        <v>1448</v>
      </c>
      <c r="X61" s="77" t="s">
        <v>1448</v>
      </c>
      <c r="Y61" s="77" t="s">
        <v>1448</v>
      </c>
      <c r="Z61" s="77" t="s">
        <v>1448</v>
      </c>
      <c r="AA61" s="77" t="s">
        <v>1448</v>
      </c>
      <c r="AB61" s="77" t="s">
        <v>1448</v>
      </c>
      <c r="AC61" s="77" t="s">
        <v>1448</v>
      </c>
      <c r="AD61" s="77" t="s">
        <v>1448</v>
      </c>
      <c r="AE61" s="77" t="s">
        <v>1448</v>
      </c>
      <c r="AF61" s="77" t="s">
        <v>1448</v>
      </c>
      <c r="AG61" s="77" t="s">
        <v>1448</v>
      </c>
      <c r="AH61" s="77" t="s">
        <v>1448</v>
      </c>
      <c r="AI61" s="77" t="s">
        <v>1448</v>
      </c>
      <c r="AJ61" s="77" t="s">
        <v>1448</v>
      </c>
      <c r="AK61" s="77" t="s">
        <v>1448</v>
      </c>
      <c r="AL61" s="77" t="s">
        <v>1448</v>
      </c>
      <c r="AM61" s="77" t="s">
        <v>1448</v>
      </c>
      <c r="AN61" s="77" t="s">
        <v>1448</v>
      </c>
      <c r="AO61" s="77" t="s">
        <v>1448</v>
      </c>
      <c r="AP61" s="77" t="s">
        <v>1448</v>
      </c>
      <c r="AQ61" s="77" t="s">
        <v>1448</v>
      </c>
      <c r="AR61" s="77" t="s">
        <v>1448</v>
      </c>
      <c r="AS61" s="77" t="s">
        <v>1448</v>
      </c>
      <c r="AT61" s="77" t="s">
        <v>1448</v>
      </c>
      <c r="AU61" s="77" t="s">
        <v>1448</v>
      </c>
      <c r="BC61" s="79" t="s">
        <v>1878</v>
      </c>
      <c r="BD61" s="79" t="s">
        <v>1879</v>
      </c>
      <c r="BO61" s="77" t="b">
        <v>0</v>
      </c>
      <c r="BT61" s="84" t="e">
        <v>#REF!</v>
      </c>
      <c r="BU61" s="84" t="e">
        <v>#REF!</v>
      </c>
      <c r="BV61" s="77" t="str">
        <f>A61 &amp; "-" &amp; TEXT(B61, "jj/mm/aaaa") &amp; "-" &amp; COUNTIF($A$2:A223, A61)</f>
        <v>ET230YD-14/03/2024-1</v>
      </c>
      <c r="BX61" s="77" t="str">
        <v>CY796YW</v>
      </c>
    </row>
    <row r="62" spans="1:76" x14ac:dyDescent="0.2">
      <c r="A62" s="77" t="s">
        <v>1882</v>
      </c>
      <c r="B62" s="88">
        <v>45365.574629629627</v>
      </c>
      <c r="C62" s="77" t="s">
        <v>1883</v>
      </c>
      <c r="D62" s="77" t="s">
        <v>958</v>
      </c>
      <c r="E62" s="77" t="b">
        <v>1</v>
      </c>
      <c r="F62" s="77" t="b">
        <v>0</v>
      </c>
      <c r="G62" s="77" t="b">
        <v>0</v>
      </c>
      <c r="H62" s="77" t="b">
        <v>0</v>
      </c>
      <c r="I62" s="77" t="s">
        <v>78</v>
      </c>
      <c r="J62" s="77" t="s">
        <v>1887</v>
      </c>
      <c r="K62" s="77" t="s">
        <v>93</v>
      </c>
      <c r="L62" s="77" t="s">
        <v>111</v>
      </c>
      <c r="M62" s="77">
        <v>1007</v>
      </c>
      <c r="N62" s="86">
        <v>160376</v>
      </c>
      <c r="BC62" s="79" t="s">
        <v>1888</v>
      </c>
      <c r="BD62" s="79" t="s">
        <v>1889</v>
      </c>
      <c r="BO62" s="77" t="b">
        <v>0</v>
      </c>
      <c r="BT62" s="84" t="e">
        <v>#REF!</v>
      </c>
      <c r="BU62" s="84" t="e">
        <v>#REF!</v>
      </c>
      <c r="BV62" s="77" t="str">
        <f>A62 &amp; "-" &amp; TEXT(B62, "jj/mm/aaaa") &amp; "-" &amp; COUNTIF($A$2:A223, A62)</f>
        <v>BY270AE-14/03/2024-1</v>
      </c>
      <c r="BX62" s="77" t="str">
        <v>CZ327PE</v>
      </c>
    </row>
    <row r="63" spans="1:76" x14ac:dyDescent="0.2">
      <c r="A63" s="77" t="s">
        <v>1471</v>
      </c>
      <c r="B63" s="88">
        <v>45365.669328703705</v>
      </c>
      <c r="C63" s="77" t="s">
        <v>1472</v>
      </c>
      <c r="E63" s="77" t="b">
        <v>0</v>
      </c>
      <c r="F63" s="77" t="b">
        <v>0</v>
      </c>
      <c r="G63" s="77" t="b">
        <v>0</v>
      </c>
      <c r="H63" s="77" t="b">
        <v>0</v>
      </c>
      <c r="I63" s="77" t="s">
        <v>1136</v>
      </c>
      <c r="J63" s="77" t="s">
        <v>1474</v>
      </c>
      <c r="K63" s="77" t="s">
        <v>94</v>
      </c>
      <c r="L63" s="77" t="s">
        <v>128</v>
      </c>
      <c r="M63" s="77" t="s">
        <v>1473</v>
      </c>
      <c r="N63" s="86">
        <v>159964</v>
      </c>
      <c r="BC63" s="79" t="s">
        <v>1890</v>
      </c>
      <c r="BD63" s="79" t="s">
        <v>1891</v>
      </c>
      <c r="BE63" s="79" t="s">
        <v>1892</v>
      </c>
      <c r="BF63" s="79" t="s">
        <v>1893</v>
      </c>
      <c r="BO63" s="77" t="b">
        <v>0</v>
      </c>
      <c r="BT63" s="84" t="e">
        <v>#REF!</v>
      </c>
      <c r="BU63" s="84" t="e">
        <v>#REF!</v>
      </c>
      <c r="BV63" s="77" t="str">
        <f>A63 &amp; "-" &amp; TEXT(B63, "jj/mm/aaaa") &amp; "-" &amp; COUNTIF($A$2:A223, A63)</f>
        <v>CC596HX-14/03/2024-4</v>
      </c>
      <c r="BX63" s="77" t="str">
        <v>CZ743ER</v>
      </c>
    </row>
    <row r="64" spans="1:76" x14ac:dyDescent="0.2">
      <c r="A64" s="77" t="s">
        <v>171</v>
      </c>
      <c r="B64" s="88">
        <v>45366.343611111108</v>
      </c>
      <c r="C64" s="77" t="s">
        <v>1894</v>
      </c>
      <c r="D64" s="77" t="s">
        <v>958</v>
      </c>
      <c r="E64" s="77" t="b">
        <v>1</v>
      </c>
      <c r="F64" s="77" t="b">
        <v>1</v>
      </c>
      <c r="G64" s="77" t="b">
        <v>1</v>
      </c>
      <c r="H64" s="77" t="b">
        <v>1</v>
      </c>
      <c r="I64" s="77" t="s">
        <v>177</v>
      </c>
      <c r="J64" s="77">
        <v>20</v>
      </c>
      <c r="K64" s="77" t="s">
        <v>176</v>
      </c>
      <c r="L64" s="77" t="s">
        <v>173</v>
      </c>
      <c r="M64" s="77" t="s">
        <v>1346</v>
      </c>
      <c r="N64" s="86">
        <v>161824</v>
      </c>
      <c r="Q64" s="77" t="s">
        <v>1448</v>
      </c>
      <c r="R64" s="77" t="s">
        <v>1448</v>
      </c>
      <c r="S64" s="77" t="s">
        <v>1448</v>
      </c>
      <c r="T64" s="77" t="s">
        <v>1448</v>
      </c>
      <c r="U64" s="77" t="s">
        <v>1448</v>
      </c>
      <c r="V64" s="77" t="s">
        <v>1448</v>
      </c>
      <c r="W64" s="77" t="s">
        <v>1448</v>
      </c>
      <c r="X64" s="77" t="s">
        <v>1448</v>
      </c>
      <c r="Y64" s="77" t="s">
        <v>1448</v>
      </c>
      <c r="Z64" s="77" t="s">
        <v>1448</v>
      </c>
      <c r="AA64" s="77" t="s">
        <v>1448</v>
      </c>
      <c r="AB64" s="77" t="s">
        <v>1448</v>
      </c>
      <c r="AC64" s="77" t="s">
        <v>1448</v>
      </c>
      <c r="AD64" s="77" t="s">
        <v>1448</v>
      </c>
      <c r="AE64" s="77" t="s">
        <v>1448</v>
      </c>
      <c r="AF64" s="77" t="s">
        <v>1448</v>
      </c>
      <c r="AG64" s="77" t="s">
        <v>1448</v>
      </c>
      <c r="AH64" s="77" t="s">
        <v>1448</v>
      </c>
      <c r="AI64" s="77" t="s">
        <v>1448</v>
      </c>
      <c r="AJ64" s="77" t="s">
        <v>1448</v>
      </c>
      <c r="AK64" s="77" t="s">
        <v>1448</v>
      </c>
      <c r="AL64" s="77" t="s">
        <v>1448</v>
      </c>
      <c r="AM64" s="77" t="s">
        <v>1448</v>
      </c>
      <c r="AN64" s="77" t="s">
        <v>1448</v>
      </c>
      <c r="AO64" s="77" t="s">
        <v>1448</v>
      </c>
      <c r="AQ64" s="77" t="s">
        <v>1448</v>
      </c>
      <c r="AR64" s="77" t="s">
        <v>1449</v>
      </c>
      <c r="AS64" s="77" t="s">
        <v>1448</v>
      </c>
      <c r="AT64" s="77" t="s">
        <v>1448</v>
      </c>
      <c r="AU64" s="77" t="s">
        <v>1448</v>
      </c>
      <c r="AV64" s="77" t="s">
        <v>1448</v>
      </c>
      <c r="AW64" s="77" t="s">
        <v>1448</v>
      </c>
      <c r="AX64" s="77" t="s">
        <v>1448</v>
      </c>
      <c r="AY64" s="77" t="s">
        <v>1448</v>
      </c>
      <c r="AZ64" s="77" t="s">
        <v>1448</v>
      </c>
      <c r="BA64" s="77" t="s">
        <v>1448</v>
      </c>
      <c r="BB64" s="77" t="s">
        <v>1449</v>
      </c>
      <c r="BC64" s="79" t="s">
        <v>1899</v>
      </c>
      <c r="BD64" s="79" t="s">
        <v>1898</v>
      </c>
      <c r="BO64" s="77" t="b">
        <v>0</v>
      </c>
      <c r="BT64" s="84" t="e">
        <v>#REF!</v>
      </c>
      <c r="BU64" s="84" t="e">
        <v>#REF!</v>
      </c>
      <c r="BV64" s="77" t="str">
        <f>A64 &amp; "-" &amp; TEXT(B64, "jj/mm/aaaa") &amp; "-" &amp; COUNTIF($A$2:A223, A64)</f>
        <v>BF512LK-15/03/2024-1</v>
      </c>
      <c r="BX64" s="77" t="str">
        <v>CZ867WV</v>
      </c>
    </row>
    <row r="65" spans="1:76" x14ac:dyDescent="0.2">
      <c r="A65" s="77" t="s">
        <v>1900</v>
      </c>
      <c r="B65" s="88">
        <v>45366.425682870373</v>
      </c>
      <c r="C65" s="77" t="s">
        <v>904</v>
      </c>
      <c r="D65" s="77" t="s">
        <v>958</v>
      </c>
      <c r="E65" s="77" t="b">
        <v>1</v>
      </c>
      <c r="F65" s="77" t="b">
        <v>1</v>
      </c>
      <c r="G65" s="77" t="b">
        <v>1</v>
      </c>
      <c r="H65" s="77" t="b">
        <v>1</v>
      </c>
      <c r="I65" s="77" t="s">
        <v>755</v>
      </c>
      <c r="J65" s="77" t="s">
        <v>1903</v>
      </c>
      <c r="K65" s="77" t="s">
        <v>114</v>
      </c>
      <c r="L65" s="77" t="s">
        <v>213</v>
      </c>
      <c r="M65" s="77" t="s">
        <v>481</v>
      </c>
      <c r="N65" s="86">
        <v>81167</v>
      </c>
      <c r="O65" s="83">
        <v>45973</v>
      </c>
      <c r="Q65" s="77" t="s">
        <v>1448</v>
      </c>
      <c r="R65" s="77" t="s">
        <v>1448</v>
      </c>
      <c r="S65" s="77" t="s">
        <v>1448</v>
      </c>
      <c r="T65" s="77" t="s">
        <v>1448</v>
      </c>
      <c r="U65" s="77" t="s">
        <v>1448</v>
      </c>
      <c r="V65" s="77" t="s">
        <v>1448</v>
      </c>
      <c r="W65" s="77" t="s">
        <v>1448</v>
      </c>
      <c r="X65" s="77" t="s">
        <v>1448</v>
      </c>
      <c r="Y65" s="77" t="s">
        <v>1448</v>
      </c>
      <c r="Z65" s="77" t="s">
        <v>1448</v>
      </c>
      <c r="AA65" s="77" t="s">
        <v>1448</v>
      </c>
      <c r="AB65" s="77" t="s">
        <v>1448</v>
      </c>
      <c r="AC65" s="77" t="s">
        <v>1448</v>
      </c>
      <c r="AD65" s="77" t="s">
        <v>1448</v>
      </c>
      <c r="AE65" s="77" t="s">
        <v>1448</v>
      </c>
      <c r="AF65" s="77" t="s">
        <v>1448</v>
      </c>
      <c r="AG65" s="77" t="s">
        <v>1448</v>
      </c>
      <c r="AH65" s="77" t="s">
        <v>1448</v>
      </c>
      <c r="AI65" s="77" t="s">
        <v>1448</v>
      </c>
      <c r="AJ65" s="77" t="s">
        <v>1450</v>
      </c>
      <c r="AK65" s="77" t="s">
        <v>1448</v>
      </c>
      <c r="AL65" s="77" t="s">
        <v>1448</v>
      </c>
      <c r="AM65" s="77" t="s">
        <v>1448</v>
      </c>
      <c r="AN65" s="77" t="s">
        <v>1448</v>
      </c>
      <c r="AO65" s="77" t="s">
        <v>1448</v>
      </c>
      <c r="AP65" s="77" t="s">
        <v>1448</v>
      </c>
      <c r="AQ65" s="77" t="s">
        <v>1448</v>
      </c>
      <c r="AR65" s="77" t="s">
        <v>1448</v>
      </c>
      <c r="AS65" s="77" t="s">
        <v>1448</v>
      </c>
      <c r="AT65" s="77" t="s">
        <v>1448</v>
      </c>
      <c r="AU65" s="77" t="s">
        <v>1448</v>
      </c>
      <c r="AV65" s="77" t="s">
        <v>1448</v>
      </c>
      <c r="AW65" s="77" t="s">
        <v>1448</v>
      </c>
      <c r="AX65" s="77" t="s">
        <v>1448</v>
      </c>
      <c r="AY65" s="77" t="s">
        <v>1448</v>
      </c>
      <c r="AZ65" s="77" t="s">
        <v>1448</v>
      </c>
      <c r="BA65" s="77" t="s">
        <v>1449</v>
      </c>
      <c r="BB65" s="77" t="s">
        <v>1449</v>
      </c>
      <c r="BC65" s="79" t="s">
        <v>1925</v>
      </c>
      <c r="BO65" s="77" t="b">
        <v>0</v>
      </c>
      <c r="BT65" s="84" t="e">
        <v>#REF!</v>
      </c>
      <c r="BU65" s="84" t="e">
        <v>#REF!</v>
      </c>
      <c r="BV65" s="77" t="str">
        <f>A65 &amp; "-" &amp; TEXT(B65, "jj/mm/aaaa") &amp; "-" &amp; COUNTIF($A$2:A223, A65)</f>
        <v>CW327GZ-15/03/2024-1</v>
      </c>
      <c r="BX65" s="77" t="str">
        <v>DA242EQ</v>
      </c>
    </row>
    <row r="66" spans="1:76" x14ac:dyDescent="0.2">
      <c r="A66" s="77" t="s">
        <v>1904</v>
      </c>
      <c r="B66" s="88">
        <v>45366.432870370372</v>
      </c>
      <c r="C66" s="77" t="s">
        <v>1905</v>
      </c>
      <c r="D66" s="77" t="s">
        <v>959</v>
      </c>
      <c r="E66" s="77" t="b">
        <v>0</v>
      </c>
      <c r="F66" s="77" t="b">
        <v>1</v>
      </c>
      <c r="G66" s="77" t="b">
        <v>0</v>
      </c>
      <c r="H66" s="77" t="b">
        <v>1</v>
      </c>
      <c r="I66" s="77" t="s">
        <v>477</v>
      </c>
      <c r="J66" s="77" t="s">
        <v>1081</v>
      </c>
      <c r="K66" s="77" t="s">
        <v>93</v>
      </c>
      <c r="L66" s="77" t="s">
        <v>131</v>
      </c>
      <c r="M66" s="77" t="s">
        <v>165</v>
      </c>
      <c r="N66" s="86">
        <v>195982</v>
      </c>
      <c r="O66" s="83">
        <v>45725</v>
      </c>
      <c r="Q66" s="77" t="s">
        <v>1448</v>
      </c>
      <c r="R66" s="77" t="s">
        <v>1448</v>
      </c>
      <c r="S66" s="77" t="s">
        <v>1448</v>
      </c>
      <c r="T66" s="77" t="s">
        <v>1448</v>
      </c>
      <c r="U66" s="77" t="s">
        <v>1448</v>
      </c>
      <c r="V66" s="77" t="s">
        <v>1448</v>
      </c>
      <c r="W66" s="77" t="s">
        <v>1448</v>
      </c>
      <c r="X66" s="77" t="s">
        <v>1448</v>
      </c>
      <c r="Y66" s="77" t="s">
        <v>1448</v>
      </c>
      <c r="Z66" s="77" t="s">
        <v>1448</v>
      </c>
      <c r="AA66" s="77" t="s">
        <v>1448</v>
      </c>
      <c r="AB66" s="77" t="s">
        <v>1448</v>
      </c>
      <c r="AC66" s="77" t="s">
        <v>1448</v>
      </c>
      <c r="AD66" s="77" t="s">
        <v>1448</v>
      </c>
      <c r="AE66" s="77" t="s">
        <v>1448</v>
      </c>
      <c r="AF66" s="77" t="s">
        <v>1448</v>
      </c>
      <c r="AG66" s="77" t="s">
        <v>1448</v>
      </c>
      <c r="AH66" s="77" t="s">
        <v>1448</v>
      </c>
      <c r="AI66" s="77" t="s">
        <v>1448</v>
      </c>
      <c r="AJ66" s="77" t="s">
        <v>1448</v>
      </c>
      <c r="AK66" s="77" t="s">
        <v>1448</v>
      </c>
      <c r="AL66" s="77" t="s">
        <v>1448</v>
      </c>
      <c r="AM66" s="77" t="s">
        <v>1449</v>
      </c>
      <c r="AN66" s="77" t="s">
        <v>1448</v>
      </c>
      <c r="AO66" s="77" t="s">
        <v>1448</v>
      </c>
      <c r="AP66" s="77" t="s">
        <v>1448</v>
      </c>
      <c r="AQ66" s="77" t="s">
        <v>1448</v>
      </c>
      <c r="AR66" s="77" t="s">
        <v>1448</v>
      </c>
      <c r="AS66" s="77" t="s">
        <v>1448</v>
      </c>
      <c r="AT66" s="77" t="s">
        <v>1448</v>
      </c>
      <c r="AU66" s="77" t="s">
        <v>1448</v>
      </c>
      <c r="AV66" s="77" t="s">
        <v>1448</v>
      </c>
      <c r="AW66" s="77" t="s">
        <v>1448</v>
      </c>
      <c r="AX66" s="77" t="s">
        <v>1448</v>
      </c>
      <c r="AY66" s="77" t="s">
        <v>1448</v>
      </c>
      <c r="AZ66" s="77" t="s">
        <v>1448</v>
      </c>
      <c r="BA66" s="77" t="s">
        <v>1448</v>
      </c>
      <c r="BB66" s="77" t="s">
        <v>1448</v>
      </c>
      <c r="BC66" s="79" t="s">
        <v>1917</v>
      </c>
      <c r="BD66" s="79" t="s">
        <v>1916</v>
      </c>
      <c r="BE66" s="79" t="s">
        <v>1918</v>
      </c>
      <c r="BO66" s="77" t="b">
        <v>0</v>
      </c>
      <c r="BT66" s="84" t="e">
        <v>#REF!</v>
      </c>
      <c r="BU66" s="84" t="e">
        <v>#REF!</v>
      </c>
      <c r="BV66" s="77" t="str">
        <f>A66 &amp; "-" &amp; TEXT(B66, "jj/mm/aaaa") &amp; "-" &amp; COUNTIF($A$2:A223, A66)</f>
        <v>BA452FT-15/03/2024-1</v>
      </c>
      <c r="BX66" s="77" t="str">
        <v>DA506JR</v>
      </c>
    </row>
    <row r="67" spans="1:76" x14ac:dyDescent="0.2">
      <c r="A67" s="77" t="s">
        <v>1909</v>
      </c>
      <c r="B67" s="88">
        <v>45366.444722222222</v>
      </c>
      <c r="C67" s="77" t="s">
        <v>999</v>
      </c>
      <c r="D67" s="77" t="s">
        <v>959</v>
      </c>
      <c r="E67" s="77" t="b">
        <v>1</v>
      </c>
      <c r="F67" s="77" t="b">
        <v>1</v>
      </c>
      <c r="G67" s="77" t="b">
        <v>1</v>
      </c>
      <c r="H67" s="77" t="b">
        <v>1</v>
      </c>
      <c r="I67" s="77" t="s">
        <v>82</v>
      </c>
      <c r="J67" s="77" t="s">
        <v>1484</v>
      </c>
      <c r="K67" s="77" t="s">
        <v>1913</v>
      </c>
      <c r="L67" s="77" t="s">
        <v>228</v>
      </c>
      <c r="M67" s="77" t="s">
        <v>1480</v>
      </c>
      <c r="N67" s="86">
        <v>54527</v>
      </c>
      <c r="O67" s="83">
        <v>45725</v>
      </c>
      <c r="P67" s="77" t="s">
        <v>1448</v>
      </c>
      <c r="Q67" s="77" t="s">
        <v>1448</v>
      </c>
      <c r="R67" s="77" t="s">
        <v>1448</v>
      </c>
      <c r="S67" s="77" t="s">
        <v>1448</v>
      </c>
      <c r="T67" s="77" t="s">
        <v>1448</v>
      </c>
      <c r="U67" s="77" t="s">
        <v>1448</v>
      </c>
      <c r="V67" s="77" t="s">
        <v>1449</v>
      </c>
      <c r="W67" s="77" t="s">
        <v>1448</v>
      </c>
      <c r="X67" s="77" t="s">
        <v>1448</v>
      </c>
      <c r="Y67" s="77" t="s">
        <v>1448</v>
      </c>
      <c r="Z67" s="77" t="s">
        <v>1449</v>
      </c>
      <c r="AA67" s="77" t="s">
        <v>1448</v>
      </c>
      <c r="AB67" s="77" t="s">
        <v>1448</v>
      </c>
      <c r="AC67" s="77" t="s">
        <v>1449</v>
      </c>
      <c r="AD67" s="77" t="s">
        <v>1448</v>
      </c>
      <c r="AE67" s="77" t="s">
        <v>1448</v>
      </c>
      <c r="AF67" s="77" t="s">
        <v>1448</v>
      </c>
      <c r="AG67" s="77" t="s">
        <v>1448</v>
      </c>
      <c r="AH67" s="77" t="s">
        <v>1448</v>
      </c>
      <c r="AI67" s="77" t="s">
        <v>1448</v>
      </c>
      <c r="AJ67" s="77" t="s">
        <v>1448</v>
      </c>
      <c r="AK67" s="77" t="s">
        <v>1448</v>
      </c>
      <c r="AL67" s="77" t="s">
        <v>1448</v>
      </c>
      <c r="AM67" s="77" t="s">
        <v>1448</v>
      </c>
      <c r="AN67" s="77" t="s">
        <v>1448</v>
      </c>
      <c r="AO67" s="77" t="s">
        <v>1448</v>
      </c>
      <c r="AP67" s="77" t="s">
        <v>1448</v>
      </c>
      <c r="AQ67" s="77" t="s">
        <v>1448</v>
      </c>
      <c r="AR67" s="77" t="s">
        <v>1448</v>
      </c>
      <c r="AS67" s="77" t="s">
        <v>1449</v>
      </c>
      <c r="AT67" s="77" t="s">
        <v>1448</v>
      </c>
      <c r="AU67" s="77" t="s">
        <v>1448</v>
      </c>
      <c r="AV67" s="77" t="s">
        <v>1448</v>
      </c>
      <c r="AW67" s="77" t="s">
        <v>1448</v>
      </c>
      <c r="AX67" s="77" t="s">
        <v>1448</v>
      </c>
      <c r="AY67" s="77" t="s">
        <v>1448</v>
      </c>
      <c r="AZ67" s="77" t="s">
        <v>1448</v>
      </c>
      <c r="BA67" s="77" t="s">
        <v>1448</v>
      </c>
      <c r="BB67" s="77" t="s">
        <v>1448</v>
      </c>
      <c r="BC67" s="79" t="s">
        <v>1914</v>
      </c>
      <c r="BD67" s="79" t="s">
        <v>1915</v>
      </c>
      <c r="BO67" s="77" t="b">
        <v>0</v>
      </c>
      <c r="BT67" s="84" t="e">
        <v>#REF!</v>
      </c>
      <c r="BU67" s="84" t="e">
        <v>#REF!</v>
      </c>
      <c r="BV67" s="77" t="str">
        <f>A67 &amp; "-" &amp; TEXT(B67, "jj/mm/aaaa") &amp; "-" &amp; COUNTIF($A$2:A223, A67)</f>
        <v>GA260SB-15/03/2024-1</v>
      </c>
      <c r="BX67" s="77" t="str">
        <v>DB011FD</v>
      </c>
    </row>
    <row r="68" spans="1:76" x14ac:dyDescent="0.2">
      <c r="A68" s="77" t="s">
        <v>578</v>
      </c>
      <c r="B68" s="88">
        <v>45366.656967592593</v>
      </c>
      <c r="C68" s="77" t="s">
        <v>1042</v>
      </c>
      <c r="E68" s="77" t="b">
        <v>0</v>
      </c>
      <c r="F68" s="77" t="b">
        <v>0</v>
      </c>
      <c r="G68" s="77" t="b">
        <v>0</v>
      </c>
      <c r="H68" s="77" t="b">
        <v>0</v>
      </c>
      <c r="I68" s="77" t="s">
        <v>254</v>
      </c>
      <c r="J68" s="77">
        <v>34</v>
      </c>
      <c r="K68" s="77" t="s">
        <v>579</v>
      </c>
      <c r="L68" s="77" t="s">
        <v>111</v>
      </c>
      <c r="M68" s="77">
        <v>308</v>
      </c>
      <c r="BC68" s="79" t="s">
        <v>1919</v>
      </c>
      <c r="BD68" s="79" t="s">
        <v>1920</v>
      </c>
      <c r="BE68" s="79" t="s">
        <v>1921</v>
      </c>
      <c r="BF68" s="79" t="s">
        <v>1922</v>
      </c>
      <c r="BO68" s="77" t="b">
        <v>0</v>
      </c>
      <c r="BT68" s="84" t="e">
        <v>#REF!</v>
      </c>
      <c r="BU68" s="84" t="e">
        <v>#REF!</v>
      </c>
      <c r="BV68" s="77" t="str">
        <f>A68 &amp; "-" &amp; TEXT(B68, "jj/mm/aaaa") &amp; "-" &amp; COUNTIF($A$2:A223, A68)</f>
        <v>EP408QD-15/03/2024-1</v>
      </c>
      <c r="BX68" s="77" t="str">
        <v>DB104TQ</v>
      </c>
    </row>
    <row r="69" spans="1:76" x14ac:dyDescent="0.2">
      <c r="A69" s="77" t="s">
        <v>1861</v>
      </c>
      <c r="B69" s="88">
        <v>45366.663726851853</v>
      </c>
      <c r="C69" s="77" t="s">
        <v>1862</v>
      </c>
      <c r="E69" s="77" t="b">
        <v>0</v>
      </c>
      <c r="F69" s="77" t="b">
        <v>0</v>
      </c>
      <c r="G69" s="77" t="b">
        <v>0</v>
      </c>
      <c r="H69" s="77" t="b">
        <v>0</v>
      </c>
      <c r="I69" s="77" t="s">
        <v>78</v>
      </c>
      <c r="J69" s="77" t="s">
        <v>1484</v>
      </c>
      <c r="K69" s="77" t="s">
        <v>77</v>
      </c>
      <c r="L69" s="77" t="s">
        <v>120</v>
      </c>
      <c r="M69" s="77" t="s">
        <v>1863</v>
      </c>
      <c r="BC69" s="79" t="s">
        <v>1924</v>
      </c>
      <c r="BO69" s="77" t="b">
        <v>0</v>
      </c>
      <c r="BT69" s="84" t="e">
        <v>#REF!</v>
      </c>
      <c r="BU69" s="84" t="e">
        <v>#REF!</v>
      </c>
      <c r="BV69" s="77" t="str">
        <f>A69 &amp; "-" &amp; TEXT(B69, "jj/mm/aaaa") &amp; "-" &amp; COUNTIF($A$2:A223, A69)</f>
        <v>CM179EH-15/03/2024-2</v>
      </c>
      <c r="BX69" s="77" t="str">
        <v>DB285WK</v>
      </c>
    </row>
    <row r="70" spans="1:76" x14ac:dyDescent="0.2">
      <c r="A70" s="77" t="s">
        <v>1926</v>
      </c>
      <c r="B70" s="88">
        <v>45369.515347222223</v>
      </c>
      <c r="C70" s="77" t="s">
        <v>172</v>
      </c>
      <c r="D70" s="77" t="s">
        <v>957</v>
      </c>
      <c r="E70" s="77" t="b">
        <v>1</v>
      </c>
      <c r="F70" s="77" t="b">
        <v>1</v>
      </c>
      <c r="G70" s="77" t="b">
        <v>1</v>
      </c>
      <c r="H70" s="77" t="b">
        <v>1</v>
      </c>
      <c r="I70" s="77" t="s">
        <v>94</v>
      </c>
      <c r="J70" s="77" t="s">
        <v>1104</v>
      </c>
      <c r="K70" s="77" t="s">
        <v>160</v>
      </c>
      <c r="L70" s="77" t="s">
        <v>111</v>
      </c>
      <c r="M70" s="77" t="s">
        <v>1931</v>
      </c>
      <c r="N70" s="86">
        <v>105700</v>
      </c>
      <c r="Q70" s="77" t="s">
        <v>1448</v>
      </c>
      <c r="R70" s="77" t="s">
        <v>1448</v>
      </c>
      <c r="S70" s="77" t="s">
        <v>1448</v>
      </c>
      <c r="T70" s="77" t="s">
        <v>1448</v>
      </c>
      <c r="U70" s="77" t="s">
        <v>1448</v>
      </c>
      <c r="V70" s="77" t="s">
        <v>1448</v>
      </c>
      <c r="W70" s="77" t="s">
        <v>1448</v>
      </c>
      <c r="X70" s="77" t="s">
        <v>1448</v>
      </c>
      <c r="Y70" s="77" t="s">
        <v>1448</v>
      </c>
      <c r="Z70" s="77" t="s">
        <v>1448</v>
      </c>
      <c r="AA70" s="77" t="s">
        <v>1448</v>
      </c>
      <c r="AB70" s="77" t="s">
        <v>1448</v>
      </c>
      <c r="AC70" s="77" t="s">
        <v>1448</v>
      </c>
      <c r="AD70" s="77" t="s">
        <v>1448</v>
      </c>
      <c r="AE70" s="77" t="s">
        <v>1448</v>
      </c>
      <c r="AF70" s="77" t="s">
        <v>1448</v>
      </c>
      <c r="AG70" s="77" t="s">
        <v>1448</v>
      </c>
      <c r="AH70" s="77" t="s">
        <v>1448</v>
      </c>
      <c r="AI70" s="77" t="s">
        <v>1448</v>
      </c>
      <c r="AJ70" s="77" t="s">
        <v>1450</v>
      </c>
      <c r="AK70" s="77" t="s">
        <v>1448</v>
      </c>
      <c r="AL70" s="77" t="s">
        <v>1448</v>
      </c>
      <c r="AM70" s="77" t="s">
        <v>1448</v>
      </c>
      <c r="AN70" s="77" t="s">
        <v>1448</v>
      </c>
      <c r="AO70" s="77" t="s">
        <v>1448</v>
      </c>
      <c r="AP70" s="77" t="s">
        <v>1448</v>
      </c>
      <c r="AQ70" s="77" t="s">
        <v>1448</v>
      </c>
      <c r="AR70" s="77" t="s">
        <v>1448</v>
      </c>
      <c r="AS70" s="77" t="s">
        <v>1448</v>
      </c>
      <c r="AT70" s="77" t="s">
        <v>1450</v>
      </c>
      <c r="AU70" s="77" t="s">
        <v>1448</v>
      </c>
      <c r="AV70" s="77" t="s">
        <v>1448</v>
      </c>
      <c r="AW70" s="77" t="s">
        <v>1448</v>
      </c>
      <c r="AX70" s="77" t="s">
        <v>1448</v>
      </c>
      <c r="AY70" s="77" t="s">
        <v>1448</v>
      </c>
      <c r="AZ70" s="77" t="s">
        <v>1448</v>
      </c>
      <c r="BA70" s="77" t="s">
        <v>1448</v>
      </c>
      <c r="BB70" s="77" t="s">
        <v>1448</v>
      </c>
      <c r="BC70" s="79" t="s">
        <v>1952</v>
      </c>
      <c r="BO70" s="77" t="b">
        <v>0</v>
      </c>
      <c r="BV70" s="77" t="str">
        <f>A70 &amp; "-" &amp; TEXT(B70, "jj/mm/aaaa") &amp; "-" &amp; COUNTIF($A$2:A223, A70)</f>
        <v>FR107VT-18/03/2024-1</v>
      </c>
      <c r="BX70" s="77" t="str">
        <v>DC442HN</v>
      </c>
    </row>
    <row r="71" spans="1:76" x14ac:dyDescent="0.2">
      <c r="A71" s="77" t="s">
        <v>330</v>
      </c>
      <c r="B71" s="88">
        <v>45370.330034722225</v>
      </c>
      <c r="C71" s="77" t="s">
        <v>1003</v>
      </c>
      <c r="E71" s="77" t="b">
        <v>0</v>
      </c>
      <c r="F71" s="77" t="b">
        <v>0</v>
      </c>
      <c r="G71" s="77" t="b">
        <v>0</v>
      </c>
      <c r="H71" s="77" t="b">
        <v>0</v>
      </c>
      <c r="I71" s="77" t="s">
        <v>93</v>
      </c>
      <c r="K71" s="77" t="s">
        <v>331</v>
      </c>
      <c r="L71" s="77" t="s">
        <v>122</v>
      </c>
      <c r="M71" s="77" t="s">
        <v>332</v>
      </c>
      <c r="N71" s="86">
        <v>269854</v>
      </c>
      <c r="BC71" s="79" t="s">
        <v>1934</v>
      </c>
      <c r="BD71" s="79" t="s">
        <v>1935</v>
      </c>
      <c r="BE71" s="79" t="s">
        <v>1936</v>
      </c>
      <c r="BO71" s="77" t="b">
        <v>0</v>
      </c>
      <c r="BV71" s="77" t="str">
        <f>A71 &amp; "-" &amp; TEXT(B71, "jj/mm/aaaa") &amp; "-" &amp; COUNTIF($A$2:A223, A71)</f>
        <v>CX450BX-19/03/2024-2</v>
      </c>
      <c r="BX71" s="77" t="str">
        <v>DC905ME</v>
      </c>
    </row>
    <row r="72" spans="1:76" x14ac:dyDescent="0.2">
      <c r="A72" s="77" t="s">
        <v>1937</v>
      </c>
      <c r="B72" s="88">
        <v>45370.33971064815</v>
      </c>
      <c r="C72" s="77" t="s">
        <v>1938</v>
      </c>
      <c r="D72" s="77" t="s">
        <v>959</v>
      </c>
      <c r="E72" s="77" t="b">
        <v>1</v>
      </c>
      <c r="F72" s="77" t="b">
        <v>1</v>
      </c>
      <c r="G72" s="77" t="b">
        <v>1</v>
      </c>
      <c r="H72" s="77" t="b">
        <v>0</v>
      </c>
      <c r="I72" s="77" t="s">
        <v>1942</v>
      </c>
      <c r="J72" s="77" t="s">
        <v>1289</v>
      </c>
      <c r="K72" s="77" t="s">
        <v>532</v>
      </c>
      <c r="L72" s="77" t="s">
        <v>111</v>
      </c>
      <c r="M72" s="77">
        <v>208</v>
      </c>
      <c r="N72" s="86">
        <v>127532</v>
      </c>
      <c r="O72" s="77" t="s">
        <v>1948</v>
      </c>
      <c r="Q72" s="77" t="s">
        <v>1448</v>
      </c>
      <c r="R72" s="77" t="s">
        <v>1448</v>
      </c>
      <c r="S72" s="77" t="s">
        <v>1448</v>
      </c>
      <c r="T72" s="77" t="s">
        <v>1448</v>
      </c>
      <c r="U72" s="77" t="s">
        <v>1448</v>
      </c>
      <c r="V72" s="77" t="s">
        <v>1449</v>
      </c>
      <c r="W72" s="77" t="s">
        <v>1448</v>
      </c>
      <c r="X72" s="77" t="s">
        <v>1448</v>
      </c>
      <c r="Y72" s="77" t="s">
        <v>1448</v>
      </c>
      <c r="Z72" s="77" t="s">
        <v>1448</v>
      </c>
      <c r="AA72" s="77" t="s">
        <v>1448</v>
      </c>
      <c r="AB72" s="77" t="s">
        <v>1448</v>
      </c>
      <c r="AC72" s="77" t="s">
        <v>1448</v>
      </c>
      <c r="AD72" s="77" t="s">
        <v>1448</v>
      </c>
      <c r="AE72" s="77" t="s">
        <v>1448</v>
      </c>
      <c r="AF72" s="77" t="s">
        <v>1448</v>
      </c>
      <c r="AG72" s="77" t="s">
        <v>1448</v>
      </c>
      <c r="AH72" s="77" t="s">
        <v>1448</v>
      </c>
      <c r="AI72" s="77" t="s">
        <v>1448</v>
      </c>
      <c r="AJ72" s="77" t="s">
        <v>1449</v>
      </c>
      <c r="AK72" s="77" t="s">
        <v>1448</v>
      </c>
      <c r="AL72" s="77" t="s">
        <v>1448</v>
      </c>
      <c r="AM72" s="77" t="s">
        <v>1449</v>
      </c>
      <c r="AN72" s="77" t="s">
        <v>1448</v>
      </c>
      <c r="AO72" s="77" t="s">
        <v>1448</v>
      </c>
      <c r="AP72" s="77" t="s">
        <v>1448</v>
      </c>
      <c r="AQ72" s="77" t="s">
        <v>1448</v>
      </c>
      <c r="AR72" s="77" t="s">
        <v>1448</v>
      </c>
      <c r="AS72" s="77" t="s">
        <v>1448</v>
      </c>
      <c r="AT72" s="77" t="s">
        <v>1448</v>
      </c>
      <c r="AU72" s="77" t="s">
        <v>1448</v>
      </c>
      <c r="AV72" s="77" t="s">
        <v>1448</v>
      </c>
      <c r="AW72" s="77" t="s">
        <v>1448</v>
      </c>
      <c r="AX72" s="77" t="s">
        <v>1448</v>
      </c>
      <c r="AY72" s="77" t="s">
        <v>1448</v>
      </c>
      <c r="AZ72" s="77" t="s">
        <v>1448</v>
      </c>
      <c r="BA72" s="77" t="s">
        <v>1448</v>
      </c>
      <c r="BB72" s="77" t="s">
        <v>1448</v>
      </c>
      <c r="BC72" s="79" t="s">
        <v>1949</v>
      </c>
      <c r="BD72" s="79" t="s">
        <v>1950</v>
      </c>
      <c r="BE72" s="79" t="s">
        <v>1951</v>
      </c>
      <c r="BO72" s="77" t="b">
        <v>0</v>
      </c>
      <c r="BV72" s="77" t="str">
        <f>A72 &amp; "-" &amp; TEXT(B72, "jj/mm/aaaa") &amp; "-" &amp; COUNTIF($A$2:A223, A72)</f>
        <v>CR653AX-19/03/2024-1</v>
      </c>
      <c r="BX72" s="77" t="str">
        <v>DD424FT</v>
      </c>
    </row>
    <row r="73" spans="1:76" x14ac:dyDescent="0.2">
      <c r="A73" s="77" t="s">
        <v>1943</v>
      </c>
      <c r="B73" s="88">
        <v>45370.357754629629</v>
      </c>
      <c r="C73" s="77" t="s">
        <v>1944</v>
      </c>
      <c r="E73" s="77" t="b">
        <v>1</v>
      </c>
      <c r="F73" s="77" t="b">
        <v>1</v>
      </c>
      <c r="G73" s="77" t="b">
        <v>1</v>
      </c>
      <c r="H73" s="77" t="b">
        <v>1</v>
      </c>
      <c r="I73" s="77" t="s">
        <v>94</v>
      </c>
      <c r="J73" s="77" t="s">
        <v>1136</v>
      </c>
      <c r="K73" s="77" t="s">
        <v>204</v>
      </c>
      <c r="L73" s="77" t="s">
        <v>1788</v>
      </c>
      <c r="M73" s="77" t="s">
        <v>1945</v>
      </c>
      <c r="N73" s="86">
        <v>126944</v>
      </c>
      <c r="O73" s="77" t="s">
        <v>1960</v>
      </c>
      <c r="P73" s="77" t="s">
        <v>1448</v>
      </c>
      <c r="Q73" s="77" t="s">
        <v>1448</v>
      </c>
      <c r="R73" s="77" t="s">
        <v>1448</v>
      </c>
      <c r="S73" s="77" t="s">
        <v>1448</v>
      </c>
      <c r="T73" s="77" t="s">
        <v>1448</v>
      </c>
      <c r="U73" s="77" t="s">
        <v>1448</v>
      </c>
      <c r="V73" s="77" t="s">
        <v>1448</v>
      </c>
      <c r="W73" s="77" t="s">
        <v>1450</v>
      </c>
      <c r="X73" s="77" t="s">
        <v>1448</v>
      </c>
      <c r="Y73" s="77" t="s">
        <v>1448</v>
      </c>
      <c r="Z73" s="77" t="s">
        <v>1449</v>
      </c>
      <c r="AA73" s="77" t="s">
        <v>1448</v>
      </c>
      <c r="AB73" s="77" t="s">
        <v>1448</v>
      </c>
      <c r="AC73" s="77" t="s">
        <v>1448</v>
      </c>
      <c r="AD73" s="77" t="s">
        <v>1448</v>
      </c>
      <c r="AE73" s="77" t="s">
        <v>1448</v>
      </c>
      <c r="AF73" s="77" t="s">
        <v>1448</v>
      </c>
      <c r="AG73" s="77" t="s">
        <v>1448</v>
      </c>
      <c r="AH73" s="77" t="s">
        <v>1448</v>
      </c>
      <c r="AI73" s="77" t="s">
        <v>1448</v>
      </c>
      <c r="AJ73" s="77" t="s">
        <v>1450</v>
      </c>
      <c r="AK73" s="77" t="s">
        <v>1448</v>
      </c>
      <c r="AL73" s="77" t="s">
        <v>1448</v>
      </c>
      <c r="AM73" s="77" t="s">
        <v>1448</v>
      </c>
      <c r="AN73" s="77" t="s">
        <v>1448</v>
      </c>
      <c r="AO73" s="77" t="s">
        <v>1448</v>
      </c>
      <c r="AP73" s="77" t="s">
        <v>1448</v>
      </c>
      <c r="AQ73" s="77" t="s">
        <v>1448</v>
      </c>
      <c r="AR73" s="77" t="s">
        <v>1448</v>
      </c>
      <c r="AS73" s="77" t="s">
        <v>1448</v>
      </c>
      <c r="AT73" s="77" t="s">
        <v>1448</v>
      </c>
      <c r="AU73" s="77" t="s">
        <v>1448</v>
      </c>
      <c r="AV73" s="77" t="s">
        <v>1448</v>
      </c>
      <c r="AW73" s="77" t="s">
        <v>1448</v>
      </c>
      <c r="AX73" s="77" t="s">
        <v>1448</v>
      </c>
      <c r="AY73" s="77" t="s">
        <v>1448</v>
      </c>
      <c r="AZ73" s="77" t="s">
        <v>1448</v>
      </c>
      <c r="BA73" s="77" t="s">
        <v>1448</v>
      </c>
      <c r="BB73" s="77" t="s">
        <v>1448</v>
      </c>
      <c r="BC73" s="79" t="s">
        <v>1836</v>
      </c>
      <c r="BD73" s="79" t="s">
        <v>1961</v>
      </c>
      <c r="BO73" s="77" t="b">
        <v>0</v>
      </c>
      <c r="BV73" s="77" t="str">
        <f>A73 &amp; "-" &amp; TEXT(B73, "jj/mm/aaaa") &amp; "-" &amp; COUNTIF($A$2:A223, A73)</f>
        <v>DZ505LC-19/03/2024-1</v>
      </c>
      <c r="BX73" s="77" t="str">
        <v>DG246PQ</v>
      </c>
    </row>
    <row r="74" spans="1:76" x14ac:dyDescent="0.2">
      <c r="A74" s="77" t="s">
        <v>1471</v>
      </c>
      <c r="B74" s="88">
        <v>45370.500185185185</v>
      </c>
      <c r="C74" s="77" t="s">
        <v>1472</v>
      </c>
      <c r="D74" s="77" t="s">
        <v>959</v>
      </c>
      <c r="E74" s="77" t="b">
        <v>0</v>
      </c>
      <c r="F74" s="77" t="b">
        <v>0</v>
      </c>
      <c r="G74" s="77" t="b">
        <v>0</v>
      </c>
      <c r="H74" s="77" t="b">
        <v>0</v>
      </c>
      <c r="I74" s="77" t="s">
        <v>1136</v>
      </c>
      <c r="J74" s="77" t="s">
        <v>1474</v>
      </c>
      <c r="K74" s="77" t="s">
        <v>94</v>
      </c>
      <c r="L74" s="77" t="s">
        <v>128</v>
      </c>
      <c r="M74" s="77" t="s">
        <v>1473</v>
      </c>
      <c r="N74" s="86">
        <v>159968</v>
      </c>
      <c r="BC74" s="79" t="s">
        <v>1953</v>
      </c>
      <c r="BO74" s="77" t="b">
        <v>0</v>
      </c>
      <c r="BV74" s="77" t="str">
        <f>A74 &amp; "-" &amp; TEXT(B74, "jj/mm/aaaa") &amp; "-" &amp; COUNTIF($A$2:A223, A74)</f>
        <v>CC596HX-19/03/2024-4</v>
      </c>
      <c r="BX74" s="77" t="str">
        <v>DH657LD</v>
      </c>
    </row>
    <row r="75" spans="1:76" x14ac:dyDescent="0.2">
      <c r="A75" s="77" t="s">
        <v>372</v>
      </c>
      <c r="B75" s="88">
        <v>45371.362986111111</v>
      </c>
      <c r="C75" s="77" t="s">
        <v>373</v>
      </c>
      <c r="D75" s="77" t="s">
        <v>959</v>
      </c>
      <c r="E75" s="77" t="b">
        <v>1</v>
      </c>
      <c r="F75" s="77" t="b">
        <v>0</v>
      </c>
      <c r="G75" s="77" t="b">
        <v>0</v>
      </c>
      <c r="H75" s="77" t="b">
        <v>0</v>
      </c>
      <c r="I75" s="77" t="s">
        <v>82</v>
      </c>
      <c r="J75" s="77" t="s">
        <v>1093</v>
      </c>
      <c r="K75" s="77" t="s">
        <v>374</v>
      </c>
      <c r="L75" s="77" t="s">
        <v>375</v>
      </c>
      <c r="M75" s="77" t="s">
        <v>376</v>
      </c>
      <c r="N75" s="86">
        <v>103558</v>
      </c>
      <c r="O75" s="77" t="s">
        <v>1966</v>
      </c>
      <c r="Q75" s="77" t="s">
        <v>1448</v>
      </c>
      <c r="R75" s="77" t="s">
        <v>1448</v>
      </c>
      <c r="S75" s="77" t="s">
        <v>1448</v>
      </c>
      <c r="T75" s="77" t="s">
        <v>1448</v>
      </c>
      <c r="U75" s="77" t="s">
        <v>1448</v>
      </c>
      <c r="V75" s="77" t="s">
        <v>1448</v>
      </c>
      <c r="W75" s="77" t="s">
        <v>1448</v>
      </c>
      <c r="X75" s="77" t="s">
        <v>1448</v>
      </c>
      <c r="Y75" s="77" t="s">
        <v>1448</v>
      </c>
      <c r="Z75" s="77" t="s">
        <v>1448</v>
      </c>
      <c r="AA75" s="77" t="s">
        <v>1448</v>
      </c>
      <c r="AB75" s="77" t="s">
        <v>1448</v>
      </c>
      <c r="AC75" s="77" t="s">
        <v>1448</v>
      </c>
      <c r="AD75" s="77" t="s">
        <v>1449</v>
      </c>
      <c r="AE75" s="77" t="s">
        <v>1448</v>
      </c>
      <c r="AF75" s="77" t="s">
        <v>1448</v>
      </c>
      <c r="AG75" s="77" t="s">
        <v>1448</v>
      </c>
      <c r="AH75" s="77" t="s">
        <v>1448</v>
      </c>
      <c r="AI75" s="77" t="s">
        <v>1448</v>
      </c>
      <c r="AJ75" s="77" t="s">
        <v>1448</v>
      </c>
      <c r="AK75" s="77" t="s">
        <v>1448</v>
      </c>
      <c r="AL75" s="77" t="s">
        <v>1448</v>
      </c>
      <c r="AM75" s="77" t="s">
        <v>1448</v>
      </c>
      <c r="AN75" s="77" t="s">
        <v>1448</v>
      </c>
      <c r="AO75" s="77" t="s">
        <v>1448</v>
      </c>
      <c r="AP75" s="77" t="s">
        <v>1448</v>
      </c>
      <c r="AQ75" s="77" t="s">
        <v>1448</v>
      </c>
      <c r="AR75" s="77" t="s">
        <v>1448</v>
      </c>
      <c r="AS75" s="77" t="s">
        <v>1448</v>
      </c>
      <c r="AT75" s="77" t="s">
        <v>1448</v>
      </c>
      <c r="AU75" s="77" t="s">
        <v>1448</v>
      </c>
      <c r="AV75" s="77" t="s">
        <v>1448</v>
      </c>
      <c r="AW75" s="77" t="s">
        <v>1448</v>
      </c>
      <c r="AX75" s="77" t="s">
        <v>1448</v>
      </c>
      <c r="AY75" s="77" t="s">
        <v>1448</v>
      </c>
      <c r="AZ75" s="77" t="s">
        <v>1448</v>
      </c>
      <c r="BA75" s="77" t="s">
        <v>1448</v>
      </c>
      <c r="BB75" s="77" t="s">
        <v>1448</v>
      </c>
      <c r="BC75" s="79" t="s">
        <v>1967</v>
      </c>
      <c r="BO75" s="77" t="b">
        <v>0</v>
      </c>
      <c r="BV75" s="77" t="str">
        <f>A75 &amp; "-" &amp; TEXT(B75, "jj/mm/aaaa") &amp; "-" &amp; COUNTIF($A$2:A223, A75)</f>
        <v>DH657LD-20/03/2024-1</v>
      </c>
      <c r="BX75" s="77" t="str">
        <v>DH992QK</v>
      </c>
    </row>
    <row r="76" spans="1:76" x14ac:dyDescent="0.2">
      <c r="A76" s="77" t="s">
        <v>545</v>
      </c>
      <c r="B76" s="88">
        <v>45371.396307870367</v>
      </c>
      <c r="C76" s="77" t="s">
        <v>175</v>
      </c>
      <c r="D76" s="77" t="s">
        <v>959</v>
      </c>
      <c r="E76" s="77" t="b">
        <v>0</v>
      </c>
      <c r="F76" s="77" t="b">
        <v>0</v>
      </c>
      <c r="G76" s="77" t="b">
        <v>0</v>
      </c>
      <c r="H76" s="77" t="b">
        <v>0</v>
      </c>
      <c r="I76" s="77" t="s">
        <v>238</v>
      </c>
      <c r="J76" s="77" t="s">
        <v>1957</v>
      </c>
      <c r="K76" s="77" t="s">
        <v>72</v>
      </c>
      <c r="L76" s="77" t="s">
        <v>210</v>
      </c>
      <c r="M76" s="77" t="s">
        <v>1384</v>
      </c>
      <c r="N76" s="86">
        <v>104274</v>
      </c>
      <c r="O76" s="77" t="s">
        <v>1962</v>
      </c>
      <c r="Q76" s="77" t="s">
        <v>1448</v>
      </c>
      <c r="R76" s="77" t="s">
        <v>1448</v>
      </c>
      <c r="S76" s="77" t="s">
        <v>1448</v>
      </c>
      <c r="T76" s="77" t="s">
        <v>1448</v>
      </c>
      <c r="U76" s="77" t="s">
        <v>1448</v>
      </c>
      <c r="V76" s="77" t="s">
        <v>1448</v>
      </c>
      <c r="W76" s="77" t="s">
        <v>1448</v>
      </c>
      <c r="X76" s="77" t="s">
        <v>1448</v>
      </c>
      <c r="Y76" s="77" t="s">
        <v>1448</v>
      </c>
      <c r="Z76" s="77" t="s">
        <v>1449</v>
      </c>
      <c r="AA76" s="77" t="s">
        <v>1448</v>
      </c>
      <c r="AB76" s="77" t="s">
        <v>1448</v>
      </c>
      <c r="AC76" s="77" t="s">
        <v>1448</v>
      </c>
      <c r="AD76" s="77" t="s">
        <v>1448</v>
      </c>
      <c r="AE76" s="77" t="s">
        <v>1448</v>
      </c>
      <c r="AF76" s="77" t="s">
        <v>1448</v>
      </c>
      <c r="AG76" s="77" t="s">
        <v>1448</v>
      </c>
      <c r="AH76" s="77" t="s">
        <v>1448</v>
      </c>
      <c r="AI76" s="77" t="s">
        <v>1448</v>
      </c>
      <c r="AJ76" s="77" t="s">
        <v>1448</v>
      </c>
      <c r="AK76" s="77" t="s">
        <v>1448</v>
      </c>
      <c r="AL76" s="77" t="s">
        <v>1448</v>
      </c>
      <c r="AM76" s="77" t="s">
        <v>1449</v>
      </c>
      <c r="AN76" s="77" t="s">
        <v>1448</v>
      </c>
      <c r="AO76" s="77" t="s">
        <v>1448</v>
      </c>
      <c r="AP76" s="77" t="s">
        <v>1448</v>
      </c>
      <c r="AQ76" s="77" t="s">
        <v>1448</v>
      </c>
      <c r="AR76" s="77" t="s">
        <v>1448</v>
      </c>
      <c r="AS76" s="77" t="s">
        <v>1448</v>
      </c>
      <c r="AT76" s="77" t="s">
        <v>1449</v>
      </c>
      <c r="AU76" s="77" t="s">
        <v>1448</v>
      </c>
      <c r="AV76" s="77" t="s">
        <v>1448</v>
      </c>
      <c r="AW76" s="77" t="s">
        <v>1448</v>
      </c>
      <c r="AX76" s="77" t="s">
        <v>1448</v>
      </c>
      <c r="AY76" s="77" t="s">
        <v>1448</v>
      </c>
      <c r="AZ76" s="77" t="s">
        <v>1448</v>
      </c>
      <c r="BA76" s="77" t="s">
        <v>1448</v>
      </c>
      <c r="BB76" s="77" t="s">
        <v>1448</v>
      </c>
      <c r="BC76" s="79" t="s">
        <v>1965</v>
      </c>
      <c r="BD76" s="79" t="s">
        <v>1964</v>
      </c>
      <c r="BE76" s="79" t="s">
        <v>1963</v>
      </c>
      <c r="BO76" s="77" t="b">
        <v>0</v>
      </c>
      <c r="BV76" s="77" t="str">
        <f>A76 &amp; "-" &amp; TEXT(B76, "jj/mm/aaaa") &amp; "-" &amp; COUNTIF($A$2:A223, A76)</f>
        <v>EK853BZ-20/03/2024-1</v>
      </c>
      <c r="BX76" s="77" t="str">
        <v>DJ550TB</v>
      </c>
    </row>
    <row r="77" spans="1:76" x14ac:dyDescent="0.2">
      <c r="A77" s="77" t="s">
        <v>467</v>
      </c>
      <c r="B77" s="88">
        <v>45371.427141203705</v>
      </c>
      <c r="C77" s="77" t="s">
        <v>392</v>
      </c>
      <c r="D77" s="77" t="s">
        <v>957</v>
      </c>
      <c r="E77" s="77" t="b">
        <v>0</v>
      </c>
      <c r="F77" s="77" t="b">
        <v>0</v>
      </c>
      <c r="G77" s="77" t="b">
        <v>0</v>
      </c>
      <c r="H77" s="77" t="b">
        <v>0</v>
      </c>
      <c r="I77" s="77" t="s">
        <v>78</v>
      </c>
      <c r="J77" s="77">
        <v>20</v>
      </c>
      <c r="K77" s="77" t="s">
        <v>341</v>
      </c>
      <c r="L77" s="77" t="s">
        <v>128</v>
      </c>
      <c r="M77" s="77" t="s">
        <v>342</v>
      </c>
      <c r="N77" s="86">
        <v>155174</v>
      </c>
      <c r="BC77" s="79" t="s">
        <v>1958</v>
      </c>
      <c r="BD77" s="79" t="s">
        <v>1959</v>
      </c>
      <c r="BO77" s="77" t="b">
        <v>0</v>
      </c>
      <c r="BV77" s="77" t="str">
        <f>A77 &amp; "-" &amp; TEXT(B77, "jj/mm/aaaa") &amp; "-" &amp; COUNTIF($A$2:A223, A77)</f>
        <v>DX669ME-20/03/2024-1</v>
      </c>
      <c r="BX77" s="77" t="str">
        <v>DJ671VQ</v>
      </c>
    </row>
    <row r="78" spans="1:76" x14ac:dyDescent="0.2">
      <c r="A78" s="77" t="s">
        <v>1968</v>
      </c>
      <c r="B78" s="88">
        <v>45371.61923611111</v>
      </c>
      <c r="C78" s="77" t="s">
        <v>1969</v>
      </c>
      <c r="E78" s="77" t="b">
        <v>0</v>
      </c>
      <c r="F78" s="77" t="b">
        <v>0</v>
      </c>
      <c r="G78" s="77" t="b">
        <v>0</v>
      </c>
      <c r="H78" s="77" t="b">
        <v>0</v>
      </c>
      <c r="I78" s="77" t="s">
        <v>1942</v>
      </c>
      <c r="J78" s="77" t="s">
        <v>1136</v>
      </c>
      <c r="K78" s="77" t="s">
        <v>1973</v>
      </c>
      <c r="L78" s="77" t="s">
        <v>128</v>
      </c>
      <c r="M78" s="77" t="s">
        <v>1971</v>
      </c>
      <c r="N78" s="86">
        <v>210344</v>
      </c>
      <c r="BC78" s="79" t="s">
        <v>1974</v>
      </c>
      <c r="BO78" s="77" t="b">
        <v>0</v>
      </c>
      <c r="BV78" s="77" t="str">
        <f>A78 &amp; "-" &amp; TEXT(B78, "jj/mm/aaaa") &amp; "-" &amp; COUNTIF($A$2:A223, A78)</f>
        <v>CE439ZD-20/03/2024-1</v>
      </c>
      <c r="BX78" s="77" t="str">
        <v>DK188VK</v>
      </c>
    </row>
    <row r="79" spans="1:76" x14ac:dyDescent="0.2">
      <c r="A79" s="77" t="s">
        <v>1975</v>
      </c>
      <c r="B79" s="88">
        <v>45372.39675925926</v>
      </c>
      <c r="C79" s="77" t="s">
        <v>1976</v>
      </c>
      <c r="D79" s="77" t="s">
        <v>957</v>
      </c>
      <c r="E79" s="77" t="b">
        <v>0</v>
      </c>
      <c r="F79" s="77" t="b">
        <v>0</v>
      </c>
      <c r="G79" s="77" t="b">
        <v>0</v>
      </c>
      <c r="H79" s="77" t="b">
        <v>0</v>
      </c>
      <c r="I79" s="77" t="s">
        <v>1725</v>
      </c>
      <c r="J79" s="77" t="s">
        <v>1069</v>
      </c>
      <c r="K79" s="77" t="s">
        <v>1981</v>
      </c>
      <c r="L79" s="77" t="s">
        <v>83</v>
      </c>
      <c r="M79" s="77" t="s">
        <v>1978</v>
      </c>
      <c r="N79" s="86">
        <v>179412</v>
      </c>
      <c r="BC79" s="79" t="s">
        <v>1982</v>
      </c>
      <c r="BO79" s="77" t="b">
        <v>0</v>
      </c>
      <c r="BV79" s="77" t="str">
        <f>A79 &amp; "-" &amp; TEXT(B79, "jj/mm/aaaa") &amp; "-" &amp; COUNTIF($A$2:A223, A79)</f>
        <v>DL025YD-21/03/2024-1</v>
      </c>
      <c r="BX79" s="77" t="str">
        <v>DK262LK</v>
      </c>
    </row>
    <row r="80" spans="1:76" x14ac:dyDescent="0.2">
      <c r="A80" s="77" t="s">
        <v>1983</v>
      </c>
      <c r="B80" s="88">
        <v>45373.33730324074</v>
      </c>
      <c r="C80" s="77" t="s">
        <v>1984</v>
      </c>
      <c r="D80" s="77" t="s">
        <v>959</v>
      </c>
      <c r="E80" s="77" t="b">
        <v>1</v>
      </c>
      <c r="F80" s="77" t="b">
        <v>1</v>
      </c>
      <c r="G80" s="77" t="b">
        <v>1</v>
      </c>
      <c r="H80" s="77" t="b">
        <v>1</v>
      </c>
      <c r="I80" s="77" t="s">
        <v>302</v>
      </c>
      <c r="J80" s="77" t="s">
        <v>1986</v>
      </c>
      <c r="K80" s="77" t="s">
        <v>1527</v>
      </c>
      <c r="L80" s="77" t="s">
        <v>128</v>
      </c>
      <c r="M80" s="77" t="s">
        <v>1644</v>
      </c>
      <c r="N80" s="86">
        <v>187741</v>
      </c>
      <c r="O80" s="83">
        <v>45567</v>
      </c>
      <c r="Q80" s="77" t="s">
        <v>1448</v>
      </c>
      <c r="R80" s="77" t="s">
        <v>1448</v>
      </c>
      <c r="S80" s="77" t="s">
        <v>1448</v>
      </c>
      <c r="T80" s="77" t="s">
        <v>1448</v>
      </c>
      <c r="U80" s="77" t="s">
        <v>1448</v>
      </c>
      <c r="V80" s="77" t="s">
        <v>1449</v>
      </c>
      <c r="W80" s="77" t="s">
        <v>1448</v>
      </c>
      <c r="X80" s="77" t="s">
        <v>1448</v>
      </c>
      <c r="Y80" s="77" t="s">
        <v>1448</v>
      </c>
      <c r="Z80" s="77" t="s">
        <v>1448</v>
      </c>
      <c r="AA80" s="77" t="s">
        <v>1449</v>
      </c>
      <c r="AB80" s="77" t="s">
        <v>1448</v>
      </c>
      <c r="AC80" s="77" t="s">
        <v>1448</v>
      </c>
      <c r="AD80" s="77" t="s">
        <v>1450</v>
      </c>
      <c r="AE80" s="77" t="s">
        <v>1448</v>
      </c>
      <c r="AF80" s="77" t="s">
        <v>1448</v>
      </c>
      <c r="AG80" s="77" t="s">
        <v>1448</v>
      </c>
      <c r="AH80" s="77" t="s">
        <v>1448</v>
      </c>
      <c r="AI80" s="77" t="s">
        <v>1448</v>
      </c>
      <c r="AJ80" s="77" t="s">
        <v>1448</v>
      </c>
      <c r="AK80" s="77" t="s">
        <v>1448</v>
      </c>
      <c r="AL80" s="77" t="s">
        <v>1448</v>
      </c>
      <c r="AM80" s="77" t="s">
        <v>1449</v>
      </c>
      <c r="AN80" s="77" t="s">
        <v>1448</v>
      </c>
      <c r="AO80" s="77" t="s">
        <v>1448</v>
      </c>
      <c r="AP80" s="77" t="s">
        <v>1448</v>
      </c>
      <c r="AQ80" s="77" t="s">
        <v>1448</v>
      </c>
      <c r="AR80" s="77" t="s">
        <v>1448</v>
      </c>
      <c r="AS80" s="77" t="s">
        <v>1448</v>
      </c>
      <c r="AT80" s="77" t="s">
        <v>1448</v>
      </c>
      <c r="AU80" s="77" t="s">
        <v>1448</v>
      </c>
      <c r="AV80" s="77" t="s">
        <v>1448</v>
      </c>
      <c r="AW80" s="77" t="s">
        <v>1448</v>
      </c>
      <c r="AX80" s="77" t="s">
        <v>1448</v>
      </c>
      <c r="AY80" s="77" t="s">
        <v>1448</v>
      </c>
      <c r="AZ80" s="77" t="s">
        <v>1448</v>
      </c>
      <c r="BA80" s="77" t="s">
        <v>1448</v>
      </c>
      <c r="BB80" s="77" t="s">
        <v>1448</v>
      </c>
      <c r="BC80" s="79" t="s">
        <v>2003</v>
      </c>
      <c r="BD80" s="79" t="s">
        <v>2004</v>
      </c>
      <c r="BE80" s="79" t="s">
        <v>2002</v>
      </c>
      <c r="BO80" s="77" t="b">
        <v>0</v>
      </c>
      <c r="BV80" s="77" t="str">
        <f>A80 &amp; "-" &amp; TEXT(B80, "jj/mm/aaaa") &amp; "-" &amp; COUNTIF($A$2:A223, A80)</f>
        <v>AC811ZB-22/03/2024-2</v>
      </c>
      <c r="BX80" s="77" t="str">
        <v>DK713QA</v>
      </c>
    </row>
    <row r="81" spans="1:76" x14ac:dyDescent="0.2">
      <c r="A81" s="77" t="s">
        <v>700</v>
      </c>
      <c r="B81" s="88">
        <v>45373.363043981481</v>
      </c>
      <c r="C81" s="77" t="s">
        <v>270</v>
      </c>
      <c r="D81" s="77" t="s">
        <v>957</v>
      </c>
      <c r="E81" s="77" t="b">
        <v>0</v>
      </c>
      <c r="F81" s="77" t="b">
        <v>0</v>
      </c>
      <c r="G81" s="77" t="b">
        <v>0</v>
      </c>
      <c r="H81" s="77" t="b">
        <v>0</v>
      </c>
      <c r="I81" s="77">
        <v>14</v>
      </c>
      <c r="J81" s="77">
        <v>30</v>
      </c>
      <c r="K81" s="77">
        <v>25</v>
      </c>
      <c r="L81" s="77" t="s">
        <v>135</v>
      </c>
      <c r="M81" s="77" t="s">
        <v>701</v>
      </c>
      <c r="N81" s="86">
        <v>117409</v>
      </c>
      <c r="BC81" s="79" t="s">
        <v>1989</v>
      </c>
      <c r="BO81" s="77" t="b">
        <v>0</v>
      </c>
      <c r="BV81" s="77" t="str">
        <f>A81 &amp; "-" &amp; TEXT(B81, "jj/mm/aaaa") &amp; "-" &amp; COUNTIF($A$2:A223, A81)</f>
        <v>FG586XK-22/03/2024-1</v>
      </c>
      <c r="BX81" s="77" t="str">
        <v>DK896XE</v>
      </c>
    </row>
    <row r="82" spans="1:76" x14ac:dyDescent="0.2">
      <c r="A82" s="77" t="s">
        <v>650</v>
      </c>
      <c r="B82" s="88">
        <v>45373.411319444444</v>
      </c>
      <c r="C82" s="77" t="s">
        <v>1050</v>
      </c>
      <c r="D82" s="77" t="s">
        <v>959</v>
      </c>
      <c r="E82" s="77" t="b">
        <v>1</v>
      </c>
      <c r="F82" s="77" t="b">
        <v>0</v>
      </c>
      <c r="G82" s="77" t="b">
        <v>0</v>
      </c>
      <c r="H82" s="77" t="b">
        <v>0</v>
      </c>
      <c r="I82" s="77" t="s">
        <v>94</v>
      </c>
      <c r="K82" s="77" t="s">
        <v>77</v>
      </c>
      <c r="L82" s="77" t="s">
        <v>73</v>
      </c>
      <c r="M82" s="77" t="s">
        <v>1402</v>
      </c>
      <c r="N82" s="86">
        <v>65005</v>
      </c>
      <c r="BC82" s="79" t="s">
        <v>1990</v>
      </c>
      <c r="BO82" s="77" t="b">
        <v>0</v>
      </c>
      <c r="BV82" s="77" t="str">
        <f>A82 &amp; "-" &amp; TEXT(B82, "jj/mm/aaaa") &amp; "-" &amp; COUNTIF($A$2:A223, A82)</f>
        <v>EZ246YD-22/03/2024-1</v>
      </c>
      <c r="BX82" s="77" t="str">
        <v>DL025YD</v>
      </c>
    </row>
    <row r="83" spans="1:76" x14ac:dyDescent="0.2">
      <c r="A83" s="77" t="s">
        <v>1992</v>
      </c>
      <c r="B83" s="88">
        <v>45373.502106481479</v>
      </c>
      <c r="C83" s="77" t="s">
        <v>1013</v>
      </c>
      <c r="E83" s="77" t="b">
        <v>0</v>
      </c>
      <c r="F83" s="77" t="b">
        <v>0</v>
      </c>
      <c r="G83" s="77" t="b">
        <v>0</v>
      </c>
      <c r="H83" s="77" t="b">
        <v>0</v>
      </c>
      <c r="I83" s="77" t="s">
        <v>115</v>
      </c>
      <c r="K83" s="77" t="s">
        <v>72</v>
      </c>
      <c r="L83" s="77" t="s">
        <v>213</v>
      </c>
      <c r="M83" s="77" t="s">
        <v>1993</v>
      </c>
      <c r="BO83" s="77" t="b">
        <v>0</v>
      </c>
      <c r="BV83" s="77" t="str">
        <f>A83 &amp; "-" &amp; TEXT(B83, "jj/mm/aaaa") &amp; "-" &amp; COUNTIF($A$2:A223, A83)</f>
        <v>DZ382CF-22/03/2024-2</v>
      </c>
      <c r="BX83" s="77" t="str">
        <v>DL159DS</v>
      </c>
    </row>
    <row r="84" spans="1:76" x14ac:dyDescent="0.2">
      <c r="A84" s="77" t="s">
        <v>1992</v>
      </c>
      <c r="B84" s="88">
        <v>45373.50340277778</v>
      </c>
      <c r="C84" s="77" t="s">
        <v>1013</v>
      </c>
      <c r="D84" s="77" t="s">
        <v>957</v>
      </c>
      <c r="E84" s="77" t="b">
        <v>1</v>
      </c>
      <c r="F84" s="77" t="b">
        <v>1</v>
      </c>
      <c r="G84" s="77" t="b">
        <v>1</v>
      </c>
      <c r="H84" s="77" t="b">
        <v>1</v>
      </c>
      <c r="I84" s="77" t="s">
        <v>115</v>
      </c>
      <c r="K84" s="77" t="s">
        <v>72</v>
      </c>
      <c r="L84" s="77" t="s">
        <v>213</v>
      </c>
      <c r="M84" s="77" t="s">
        <v>1993</v>
      </c>
      <c r="N84" s="86">
        <v>120819</v>
      </c>
      <c r="O84" s="77" t="s">
        <v>2028</v>
      </c>
      <c r="P84" s="77" t="s">
        <v>1448</v>
      </c>
      <c r="Q84" s="77" t="s">
        <v>1448</v>
      </c>
      <c r="R84" s="77" t="s">
        <v>1448</v>
      </c>
      <c r="S84" s="77" t="s">
        <v>1448</v>
      </c>
      <c r="T84" s="77" t="s">
        <v>1448</v>
      </c>
      <c r="U84" s="77" t="s">
        <v>1448</v>
      </c>
      <c r="V84" s="77" t="s">
        <v>1448</v>
      </c>
      <c r="W84" s="77" t="s">
        <v>1448</v>
      </c>
      <c r="X84" s="77" t="s">
        <v>1448</v>
      </c>
      <c r="Y84" s="77" t="s">
        <v>1448</v>
      </c>
      <c r="Z84" s="77" t="s">
        <v>1448</v>
      </c>
      <c r="AA84" s="77" t="s">
        <v>1448</v>
      </c>
      <c r="AB84" s="77" t="s">
        <v>1448</v>
      </c>
      <c r="AC84" s="77" t="s">
        <v>1448</v>
      </c>
      <c r="AD84" s="77" t="s">
        <v>1448</v>
      </c>
      <c r="AE84" s="77" t="s">
        <v>1448</v>
      </c>
      <c r="AF84" s="77" t="s">
        <v>1448</v>
      </c>
      <c r="AG84" s="77" t="s">
        <v>1448</v>
      </c>
      <c r="AH84" s="77" t="s">
        <v>1448</v>
      </c>
      <c r="AI84" s="77" t="s">
        <v>1448</v>
      </c>
      <c r="AJ84" s="77" t="s">
        <v>1448</v>
      </c>
      <c r="AK84" s="77" t="s">
        <v>1448</v>
      </c>
      <c r="AL84" s="77" t="s">
        <v>1448</v>
      </c>
      <c r="AM84" s="77" t="s">
        <v>1448</v>
      </c>
      <c r="AN84" s="77" t="s">
        <v>1448</v>
      </c>
      <c r="AO84" s="77" t="s">
        <v>1448</v>
      </c>
      <c r="AP84" s="77" t="s">
        <v>1448</v>
      </c>
      <c r="AQ84" s="77" t="s">
        <v>1448</v>
      </c>
      <c r="AR84" s="77" t="s">
        <v>1448</v>
      </c>
      <c r="AS84" s="77" t="s">
        <v>1448</v>
      </c>
      <c r="AT84" s="77" t="s">
        <v>1448</v>
      </c>
      <c r="AU84" s="77" t="s">
        <v>1448</v>
      </c>
      <c r="AV84" s="77" t="s">
        <v>1448</v>
      </c>
      <c r="AW84" s="77" t="s">
        <v>1448</v>
      </c>
      <c r="AX84" s="77" t="s">
        <v>1448</v>
      </c>
      <c r="AY84" s="77" t="s">
        <v>1448</v>
      </c>
      <c r="AZ84" s="77" t="s">
        <v>1448</v>
      </c>
      <c r="BA84" s="77" t="s">
        <v>1449</v>
      </c>
      <c r="BB84" s="77" t="s">
        <v>1448</v>
      </c>
      <c r="BD84" s="79" t="s">
        <v>2029</v>
      </c>
      <c r="BE84" s="79" t="s">
        <v>2115</v>
      </c>
      <c r="BF84" s="79" t="s">
        <v>2116</v>
      </c>
      <c r="BO84" s="77" t="b">
        <v>0</v>
      </c>
      <c r="BV84" s="77" t="str">
        <f>A84 &amp; "-" &amp; TEXT(B84, "jj/mm/aaaa") &amp; "-" &amp; COUNTIF($A$2:A223, A84)</f>
        <v>DZ382CF-22/03/2024-2</v>
      </c>
      <c r="BX84" s="77" t="str">
        <v>DL270SY</v>
      </c>
    </row>
    <row r="85" spans="1:76" x14ac:dyDescent="0.2">
      <c r="A85" s="77" t="s">
        <v>1995</v>
      </c>
      <c r="B85" s="88">
        <v>45373.509293981479</v>
      </c>
      <c r="C85" s="77" t="s">
        <v>1013</v>
      </c>
      <c r="E85" s="77" t="b">
        <v>0</v>
      </c>
      <c r="F85" s="77" t="b">
        <v>0</v>
      </c>
      <c r="G85" s="77" t="b">
        <v>0</v>
      </c>
      <c r="H85" s="77" t="b">
        <v>0</v>
      </c>
      <c r="I85" s="77" t="s">
        <v>2000</v>
      </c>
      <c r="J85" s="77" t="s">
        <v>503</v>
      </c>
      <c r="K85" s="77" t="s">
        <v>1999</v>
      </c>
      <c r="L85" s="77" t="s">
        <v>399</v>
      </c>
      <c r="M85" s="77" t="s">
        <v>1996</v>
      </c>
      <c r="BC85" s="79" t="s">
        <v>2001</v>
      </c>
      <c r="BO85" s="77" t="b">
        <v>0</v>
      </c>
      <c r="BV85" s="77" t="str">
        <f>A85 &amp; "-" &amp; TEXT(B85, "jj/mm/aaaa") &amp; "-" &amp; COUNTIF($A$2:A223, A85)</f>
        <v>DL420KS-22/03/2024-2</v>
      </c>
      <c r="BX85" s="77" t="str">
        <v>DL420KS</v>
      </c>
    </row>
    <row r="86" spans="1:76" x14ac:dyDescent="0.2">
      <c r="A86" s="77" t="s">
        <v>424</v>
      </c>
      <c r="B86" s="88">
        <v>45376.453252314815</v>
      </c>
      <c r="C86" s="77" t="s">
        <v>425</v>
      </c>
      <c r="D86" s="77" t="s">
        <v>959</v>
      </c>
      <c r="E86" s="77" t="b">
        <v>1</v>
      </c>
      <c r="F86" s="77" t="b">
        <v>1</v>
      </c>
      <c r="G86" s="77" t="b">
        <v>1</v>
      </c>
      <c r="H86" s="77" t="b">
        <v>1</v>
      </c>
      <c r="I86" s="77" t="s">
        <v>238</v>
      </c>
      <c r="J86" s="77">
        <v>34</v>
      </c>
      <c r="K86" s="77" t="s">
        <v>114</v>
      </c>
      <c r="L86" s="77" t="s">
        <v>111</v>
      </c>
      <c r="M86" s="77" t="s">
        <v>384</v>
      </c>
      <c r="N86" s="86">
        <v>139448</v>
      </c>
      <c r="O86" s="83">
        <v>45632</v>
      </c>
      <c r="P86" s="77" t="s">
        <v>1448</v>
      </c>
      <c r="Q86" s="77" t="s">
        <v>1448</v>
      </c>
      <c r="R86" s="77" t="s">
        <v>1448</v>
      </c>
      <c r="S86" s="77" t="s">
        <v>1448</v>
      </c>
      <c r="T86" s="77" t="s">
        <v>1448</v>
      </c>
      <c r="U86" s="77" t="s">
        <v>1448</v>
      </c>
      <c r="V86" s="77" t="s">
        <v>1448</v>
      </c>
      <c r="W86" s="77" t="s">
        <v>1448</v>
      </c>
      <c r="X86" s="77" t="s">
        <v>1448</v>
      </c>
      <c r="Y86" s="77" t="s">
        <v>1448</v>
      </c>
      <c r="Z86" s="77" t="s">
        <v>1448</v>
      </c>
      <c r="AA86" s="77" t="s">
        <v>1448</v>
      </c>
      <c r="AB86" s="77" t="s">
        <v>1448</v>
      </c>
      <c r="AC86" s="77" t="s">
        <v>1448</v>
      </c>
      <c r="AD86" s="77" t="s">
        <v>1448</v>
      </c>
      <c r="AE86" s="77" t="s">
        <v>1448</v>
      </c>
      <c r="AF86" s="77" t="s">
        <v>1448</v>
      </c>
      <c r="AG86" s="77" t="s">
        <v>1448</v>
      </c>
      <c r="AH86" s="77" t="s">
        <v>1448</v>
      </c>
      <c r="AI86" s="77" t="s">
        <v>1448</v>
      </c>
      <c r="AJ86" s="77" t="s">
        <v>1448</v>
      </c>
      <c r="AK86" s="77" t="s">
        <v>1448</v>
      </c>
      <c r="AL86" s="77" t="s">
        <v>1448</v>
      </c>
      <c r="AM86" s="77" t="s">
        <v>1448</v>
      </c>
      <c r="AN86" s="77" t="s">
        <v>1448</v>
      </c>
      <c r="AO86" s="77" t="s">
        <v>1448</v>
      </c>
      <c r="AP86" s="77" t="s">
        <v>1448</v>
      </c>
      <c r="AQ86" s="77" t="s">
        <v>1448</v>
      </c>
      <c r="AR86" s="77" t="s">
        <v>1448</v>
      </c>
      <c r="AS86" s="77" t="s">
        <v>1448</v>
      </c>
      <c r="AT86" s="77" t="s">
        <v>1448</v>
      </c>
      <c r="AU86" s="77" t="s">
        <v>1448</v>
      </c>
      <c r="AV86" s="77" t="s">
        <v>1448</v>
      </c>
      <c r="AW86" s="77" t="s">
        <v>1448</v>
      </c>
      <c r="AX86" s="77" t="s">
        <v>1448</v>
      </c>
      <c r="AY86" s="77" t="s">
        <v>1448</v>
      </c>
      <c r="AZ86" s="77" t="s">
        <v>1448</v>
      </c>
      <c r="BA86" s="77" t="s">
        <v>1448</v>
      </c>
      <c r="BB86" s="77" t="s">
        <v>1448</v>
      </c>
      <c r="BO86" s="77" t="b">
        <v>0</v>
      </c>
      <c r="BV86" s="77" t="str">
        <f>A86 &amp; "-" &amp; TEXT(B86, "jj/mm/aaaa") &amp; "-" &amp; COUNTIF($A$2:A223, A86)</f>
        <v>DR816VD-25/03/2024-2</v>
      </c>
      <c r="BX86" s="77" t="str">
        <v>DR706VE</v>
      </c>
    </row>
    <row r="87" spans="1:76" x14ac:dyDescent="0.2">
      <c r="A87" s="77" t="s">
        <v>2006</v>
      </c>
      <c r="B87" s="88">
        <v>45376.460173611114</v>
      </c>
      <c r="C87" s="77" t="s">
        <v>1038</v>
      </c>
      <c r="D87" s="77" t="s">
        <v>959</v>
      </c>
      <c r="E87" s="77" t="b">
        <v>1</v>
      </c>
      <c r="F87" s="77" t="b">
        <v>1</v>
      </c>
      <c r="G87" s="77" t="b">
        <v>1</v>
      </c>
      <c r="H87" s="77" t="b">
        <v>1</v>
      </c>
      <c r="I87" s="77" t="s">
        <v>2011</v>
      </c>
      <c r="J87" s="77" t="s">
        <v>1869</v>
      </c>
      <c r="K87" s="77" t="s">
        <v>81</v>
      </c>
      <c r="L87" s="77" t="s">
        <v>213</v>
      </c>
      <c r="M87" s="77" t="s">
        <v>2007</v>
      </c>
      <c r="N87" s="86">
        <v>90105</v>
      </c>
      <c r="P87" s="77" t="s">
        <v>1448</v>
      </c>
      <c r="Q87" s="77" t="s">
        <v>1448</v>
      </c>
      <c r="R87" s="77" t="s">
        <v>1448</v>
      </c>
      <c r="S87" s="77" t="s">
        <v>1448</v>
      </c>
      <c r="T87" s="77" t="s">
        <v>1448</v>
      </c>
      <c r="U87" s="77" t="s">
        <v>1448</v>
      </c>
      <c r="V87" s="77" t="s">
        <v>1448</v>
      </c>
      <c r="W87" s="77" t="s">
        <v>1448</v>
      </c>
      <c r="X87" s="77" t="s">
        <v>1448</v>
      </c>
      <c r="Y87" s="77" t="s">
        <v>1448</v>
      </c>
      <c r="Z87" s="77" t="s">
        <v>1448</v>
      </c>
      <c r="AA87" s="77" t="s">
        <v>1448</v>
      </c>
      <c r="AB87" s="77" t="s">
        <v>1448</v>
      </c>
      <c r="AC87" s="77" t="s">
        <v>1448</v>
      </c>
      <c r="AD87" s="77" t="s">
        <v>1448</v>
      </c>
      <c r="AE87" s="77" t="s">
        <v>1448</v>
      </c>
      <c r="AF87" s="77" t="s">
        <v>1448</v>
      </c>
      <c r="AG87" s="77" t="s">
        <v>1448</v>
      </c>
      <c r="AH87" s="77" t="s">
        <v>1448</v>
      </c>
      <c r="AI87" s="77" t="s">
        <v>1448</v>
      </c>
      <c r="AJ87" s="77" t="s">
        <v>1450</v>
      </c>
      <c r="AK87" s="77" t="s">
        <v>1448</v>
      </c>
      <c r="AL87" s="77" t="s">
        <v>1448</v>
      </c>
      <c r="AM87" s="77" t="s">
        <v>1448</v>
      </c>
      <c r="AN87" s="77" t="s">
        <v>1448</v>
      </c>
      <c r="AO87" s="77" t="s">
        <v>1448</v>
      </c>
      <c r="AP87" s="77" t="s">
        <v>1448</v>
      </c>
      <c r="AQ87" s="77" t="s">
        <v>1448</v>
      </c>
      <c r="AR87" s="77" t="s">
        <v>1448</v>
      </c>
      <c r="AS87" s="77" t="s">
        <v>1448</v>
      </c>
      <c r="AT87" s="77" t="s">
        <v>1448</v>
      </c>
      <c r="AU87" s="77" t="s">
        <v>1448</v>
      </c>
      <c r="AV87" s="77" t="s">
        <v>1448</v>
      </c>
      <c r="AW87" s="77" t="s">
        <v>1448</v>
      </c>
      <c r="AX87" s="77" t="s">
        <v>1448</v>
      </c>
      <c r="AY87" s="77" t="s">
        <v>1448</v>
      </c>
      <c r="AZ87" s="77" t="s">
        <v>1448</v>
      </c>
      <c r="BA87" s="77" t="s">
        <v>1448</v>
      </c>
      <c r="BB87" s="77" t="s">
        <v>1448</v>
      </c>
      <c r="BO87" s="77" t="b">
        <v>0</v>
      </c>
      <c r="BV87" s="77" t="str">
        <f>A87 &amp; "-" &amp; TEXT(B87, "jj/mm/aaaa") &amp; "-" &amp; COUNTIF($A$2:A223, A87)</f>
        <v>FK943MK-25/03/2024-1</v>
      </c>
      <c r="BX87" s="77" t="str">
        <v>DR816VD</v>
      </c>
    </row>
    <row r="88" spans="1:76" x14ac:dyDescent="0.2">
      <c r="A88" s="77" t="s">
        <v>424</v>
      </c>
      <c r="B88" s="88">
        <v>45376.453252314815</v>
      </c>
      <c r="C88" s="77" t="s">
        <v>425</v>
      </c>
      <c r="D88" s="77" t="s">
        <v>959</v>
      </c>
      <c r="E88" s="77" t="b">
        <v>1</v>
      </c>
      <c r="F88" s="77" t="b">
        <v>1</v>
      </c>
      <c r="G88" s="77" t="b">
        <v>1</v>
      </c>
      <c r="H88" s="77" t="b">
        <v>1</v>
      </c>
      <c r="I88" s="77" t="s">
        <v>238</v>
      </c>
      <c r="J88" s="77">
        <v>34</v>
      </c>
      <c r="K88" s="77" t="s">
        <v>114</v>
      </c>
      <c r="L88" s="77" t="s">
        <v>111</v>
      </c>
      <c r="M88" s="77" t="s">
        <v>384</v>
      </c>
      <c r="N88" s="86">
        <v>139448</v>
      </c>
      <c r="O88" s="83">
        <v>45632</v>
      </c>
      <c r="P88" s="77" t="s">
        <v>1448</v>
      </c>
      <c r="Q88" s="77" t="s">
        <v>1448</v>
      </c>
      <c r="R88" s="77" t="s">
        <v>1448</v>
      </c>
      <c r="S88" s="77" t="s">
        <v>1448</v>
      </c>
      <c r="T88" s="77" t="s">
        <v>1448</v>
      </c>
      <c r="U88" s="77" t="s">
        <v>1448</v>
      </c>
      <c r="V88" s="77" t="s">
        <v>1448</v>
      </c>
      <c r="W88" s="77" t="s">
        <v>1448</v>
      </c>
      <c r="X88" s="77" t="s">
        <v>1448</v>
      </c>
      <c r="Y88" s="77" t="s">
        <v>1448</v>
      </c>
      <c r="Z88" s="77" t="s">
        <v>1448</v>
      </c>
      <c r="AA88" s="77" t="s">
        <v>1448</v>
      </c>
      <c r="AC88" s="77" t="s">
        <v>1448</v>
      </c>
      <c r="AD88" s="77" t="s">
        <v>1448</v>
      </c>
      <c r="AE88" s="77" t="s">
        <v>1448</v>
      </c>
      <c r="AF88" s="77" t="s">
        <v>1448</v>
      </c>
      <c r="AG88" s="77" t="s">
        <v>1448</v>
      </c>
      <c r="AH88" s="77" t="s">
        <v>1448</v>
      </c>
      <c r="AI88" s="77" t="s">
        <v>1448</v>
      </c>
      <c r="AJ88" s="77" t="s">
        <v>1448</v>
      </c>
      <c r="AK88" s="77" t="s">
        <v>1448</v>
      </c>
      <c r="AL88" s="77" t="s">
        <v>1448</v>
      </c>
      <c r="AM88" s="77" t="s">
        <v>1448</v>
      </c>
      <c r="AN88" s="77" t="s">
        <v>1448</v>
      </c>
      <c r="AO88" s="77" t="s">
        <v>1448</v>
      </c>
      <c r="AP88" s="77" t="s">
        <v>1448</v>
      </c>
      <c r="AQ88" s="77" t="s">
        <v>1448</v>
      </c>
      <c r="AR88" s="77" t="s">
        <v>1448</v>
      </c>
      <c r="AS88" s="77" t="s">
        <v>1448</v>
      </c>
      <c r="AT88" s="77" t="s">
        <v>1448</v>
      </c>
      <c r="AU88" s="77" t="s">
        <v>1448</v>
      </c>
      <c r="AV88" s="77" t="s">
        <v>1448</v>
      </c>
      <c r="AW88" s="77" t="s">
        <v>1448</v>
      </c>
      <c r="AX88" s="77" t="s">
        <v>1448</v>
      </c>
      <c r="AY88" s="77" t="s">
        <v>1448</v>
      </c>
      <c r="AZ88" s="77" t="s">
        <v>1448</v>
      </c>
      <c r="BA88" s="77" t="s">
        <v>1448</v>
      </c>
      <c r="BB88" s="77" t="s">
        <v>1448</v>
      </c>
      <c r="BO88" s="77" t="b">
        <v>0</v>
      </c>
      <c r="BV88" s="77" t="str">
        <f>A88 &amp; "-" &amp; TEXT(B88, "jj/mm/aaaa") &amp; "-" &amp; COUNTIF($A$2:A223, A88)</f>
        <v>DR816VD-25/03/2024-2</v>
      </c>
      <c r="BX88" s="77" t="str">
        <v>DT332DD</v>
      </c>
    </row>
    <row r="89" spans="1:76" x14ac:dyDescent="0.2">
      <c r="A89" s="77" t="s">
        <v>303</v>
      </c>
      <c r="B89" s="88">
        <v>45377.350983796299</v>
      </c>
      <c r="C89" s="77" t="s">
        <v>138</v>
      </c>
      <c r="D89" s="77" t="s">
        <v>958</v>
      </c>
      <c r="E89" s="77" t="b">
        <v>1</v>
      </c>
      <c r="F89" s="77" t="b">
        <v>1</v>
      </c>
      <c r="G89" s="77" t="b">
        <v>0</v>
      </c>
      <c r="H89" s="77" t="b">
        <v>1</v>
      </c>
      <c r="I89" s="77" t="s">
        <v>78</v>
      </c>
      <c r="J89" s="77" t="s">
        <v>1104</v>
      </c>
      <c r="K89" s="77" t="s">
        <v>93</v>
      </c>
      <c r="L89" s="77" t="s">
        <v>139</v>
      </c>
      <c r="M89" s="77" t="s">
        <v>304</v>
      </c>
      <c r="N89" s="86">
        <v>154168</v>
      </c>
      <c r="O89" s="77" t="s">
        <v>2024</v>
      </c>
      <c r="Q89" s="77" t="s">
        <v>1448</v>
      </c>
      <c r="R89" s="77" t="s">
        <v>1448</v>
      </c>
      <c r="S89" s="77" t="s">
        <v>1448</v>
      </c>
      <c r="T89" s="77" t="s">
        <v>1448</v>
      </c>
      <c r="U89" s="77" t="s">
        <v>1448</v>
      </c>
      <c r="V89" s="77" t="s">
        <v>1448</v>
      </c>
      <c r="W89" s="77" t="s">
        <v>1448</v>
      </c>
      <c r="X89" s="77" t="s">
        <v>1448</v>
      </c>
      <c r="Y89" s="77" t="s">
        <v>1448</v>
      </c>
      <c r="Z89" s="77" t="s">
        <v>1448</v>
      </c>
      <c r="AA89" s="77" t="s">
        <v>1448</v>
      </c>
      <c r="AB89" s="77" t="s">
        <v>1448</v>
      </c>
      <c r="AC89" s="77" t="s">
        <v>1448</v>
      </c>
      <c r="AD89" s="77" t="s">
        <v>1448</v>
      </c>
      <c r="AE89" s="77" t="s">
        <v>1448</v>
      </c>
      <c r="AF89" s="77" t="s">
        <v>1448</v>
      </c>
      <c r="AG89" s="77" t="s">
        <v>1448</v>
      </c>
      <c r="AH89" s="77" t="s">
        <v>1448</v>
      </c>
      <c r="AI89" s="77" t="s">
        <v>1448</v>
      </c>
      <c r="AJ89" s="77" t="s">
        <v>1448</v>
      </c>
      <c r="AK89" s="77" t="s">
        <v>1448</v>
      </c>
      <c r="AL89" s="77" t="s">
        <v>1448</v>
      </c>
      <c r="AM89" s="77" t="s">
        <v>1448</v>
      </c>
      <c r="AN89" s="77" t="s">
        <v>1448</v>
      </c>
      <c r="AO89" s="77" t="s">
        <v>1449</v>
      </c>
      <c r="AP89" s="77" t="s">
        <v>1448</v>
      </c>
      <c r="AQ89" s="77" t="s">
        <v>1448</v>
      </c>
      <c r="AR89" s="77" t="s">
        <v>1448</v>
      </c>
      <c r="AS89" s="77" t="s">
        <v>1448</v>
      </c>
      <c r="AT89" s="77" t="s">
        <v>1448</v>
      </c>
      <c r="AU89" s="77" t="s">
        <v>1448</v>
      </c>
      <c r="AV89" s="77" t="s">
        <v>1448</v>
      </c>
      <c r="AW89" s="77" t="s">
        <v>1448</v>
      </c>
      <c r="AX89" s="77" t="s">
        <v>1448</v>
      </c>
      <c r="AY89" s="77" t="s">
        <v>1448</v>
      </c>
      <c r="AZ89" s="77" t="s">
        <v>1448</v>
      </c>
      <c r="BA89" s="77" t="s">
        <v>1448</v>
      </c>
      <c r="BB89" s="77" t="s">
        <v>1448</v>
      </c>
      <c r="BC89" s="79" t="s">
        <v>2025</v>
      </c>
      <c r="BD89" s="79" t="s">
        <v>2026</v>
      </c>
      <c r="BE89" s="79" t="s">
        <v>2027</v>
      </c>
      <c r="BO89" s="77" t="b">
        <v>0</v>
      </c>
      <c r="BV89" s="77" t="str">
        <f>A89 &amp; "-" &amp; TEXT(B89, "jj/mm/aaaa") &amp; "-" &amp; COUNTIF($A$2:A223, A89)</f>
        <v>CS047VY-26/03/2024-1</v>
      </c>
      <c r="BX89" s="77" t="str">
        <v>DT530LX</v>
      </c>
    </row>
    <row r="90" spans="1:76" x14ac:dyDescent="0.2">
      <c r="A90" s="77" t="s">
        <v>2018</v>
      </c>
      <c r="B90" s="88">
        <v>45377.3752662037</v>
      </c>
      <c r="C90" s="77" t="s">
        <v>2019</v>
      </c>
      <c r="D90" s="77" t="s">
        <v>958</v>
      </c>
      <c r="E90" s="77" t="b">
        <v>1</v>
      </c>
      <c r="F90" s="77" t="b">
        <v>0</v>
      </c>
      <c r="G90" s="77" t="b">
        <v>0</v>
      </c>
      <c r="H90" s="77" t="b">
        <v>0</v>
      </c>
      <c r="I90" s="77" t="s">
        <v>82</v>
      </c>
      <c r="J90" s="77" t="s">
        <v>1470</v>
      </c>
      <c r="K90" s="77" t="s">
        <v>455</v>
      </c>
      <c r="L90" s="77" t="s">
        <v>2021</v>
      </c>
      <c r="M90" s="77" t="s">
        <v>319</v>
      </c>
      <c r="N90" s="86">
        <v>64891</v>
      </c>
      <c r="O90" s="77" t="s">
        <v>2038</v>
      </c>
      <c r="P90" s="77" t="s">
        <v>1448</v>
      </c>
      <c r="Q90" s="77" t="s">
        <v>1448</v>
      </c>
      <c r="R90" s="77" t="s">
        <v>1448</v>
      </c>
      <c r="S90" s="77" t="s">
        <v>1448</v>
      </c>
      <c r="T90" s="77" t="s">
        <v>1448</v>
      </c>
      <c r="U90" s="77" t="s">
        <v>1448</v>
      </c>
      <c r="V90" s="77" t="s">
        <v>1448</v>
      </c>
      <c r="W90" s="77" t="s">
        <v>1448</v>
      </c>
      <c r="X90" s="77" t="s">
        <v>1448</v>
      </c>
      <c r="Y90" s="77" t="s">
        <v>1448</v>
      </c>
      <c r="Z90" s="77" t="s">
        <v>1448</v>
      </c>
      <c r="AA90" s="77" t="s">
        <v>1448</v>
      </c>
      <c r="AB90" s="77" t="s">
        <v>1448</v>
      </c>
      <c r="AC90" s="77" t="s">
        <v>1448</v>
      </c>
      <c r="AD90" s="77" t="s">
        <v>1448</v>
      </c>
      <c r="AE90" s="77" t="s">
        <v>1448</v>
      </c>
      <c r="AF90" s="77" t="s">
        <v>1448</v>
      </c>
      <c r="AG90" s="77" t="s">
        <v>1448</v>
      </c>
      <c r="AH90" s="77" t="s">
        <v>1448</v>
      </c>
      <c r="AI90" s="77" t="s">
        <v>1448</v>
      </c>
      <c r="AJ90" s="77" t="s">
        <v>1448</v>
      </c>
      <c r="AK90" s="77" t="s">
        <v>1448</v>
      </c>
      <c r="AL90" s="77" t="s">
        <v>1448</v>
      </c>
      <c r="AM90" s="77" t="s">
        <v>1448</v>
      </c>
      <c r="AN90" s="77" t="s">
        <v>1448</v>
      </c>
      <c r="AO90" s="77" t="s">
        <v>1448</v>
      </c>
      <c r="AP90" s="77" t="s">
        <v>1450</v>
      </c>
      <c r="AQ90" s="77" t="s">
        <v>1448</v>
      </c>
      <c r="AR90" s="77" t="s">
        <v>1448</v>
      </c>
      <c r="AS90" s="77" t="s">
        <v>1448</v>
      </c>
      <c r="AT90" s="77" t="s">
        <v>1448</v>
      </c>
      <c r="AU90" s="77" t="s">
        <v>1448</v>
      </c>
      <c r="AV90" s="77" t="s">
        <v>1448</v>
      </c>
      <c r="AW90" s="77" t="s">
        <v>1448</v>
      </c>
      <c r="AX90" s="77" t="s">
        <v>1448</v>
      </c>
      <c r="AY90" s="77" t="s">
        <v>1448</v>
      </c>
      <c r="AZ90" s="77" t="s">
        <v>1448</v>
      </c>
      <c r="BA90" s="77" t="s">
        <v>1448</v>
      </c>
      <c r="BB90" s="77" t="s">
        <v>1448</v>
      </c>
      <c r="BC90" s="79" t="s">
        <v>2036</v>
      </c>
      <c r="BD90" s="79" t="s">
        <v>2037</v>
      </c>
      <c r="BO90" s="77" t="b">
        <v>0</v>
      </c>
      <c r="BV90" s="77" t="str">
        <f>A90 &amp; "-" &amp; TEXT(B90, "jj/mm/aaaa") &amp; "-" &amp; COUNTIF($A$2:A223, A90)</f>
        <v>EH981DM-26/03/2024-1</v>
      </c>
      <c r="BX90" s="77" t="str">
        <v>DT901ZV</v>
      </c>
    </row>
    <row r="91" spans="1:76" x14ac:dyDescent="0.2">
      <c r="A91" s="77" t="s">
        <v>2012</v>
      </c>
      <c r="B91" s="88">
        <v>45377.378078703703</v>
      </c>
      <c r="C91" s="77" t="s">
        <v>392</v>
      </c>
      <c r="D91" s="77" t="s">
        <v>959</v>
      </c>
      <c r="E91" s="77" t="b">
        <v>0</v>
      </c>
      <c r="F91" s="77" t="b">
        <v>0</v>
      </c>
      <c r="G91" s="77" t="b">
        <v>0</v>
      </c>
      <c r="H91" s="77" t="b">
        <v>0</v>
      </c>
      <c r="I91" s="77" t="s">
        <v>78</v>
      </c>
      <c r="J91" s="77" t="s">
        <v>1136</v>
      </c>
      <c r="K91" s="77" t="s">
        <v>204</v>
      </c>
      <c r="L91" s="77" t="s">
        <v>128</v>
      </c>
      <c r="M91" s="77" t="s">
        <v>342</v>
      </c>
      <c r="N91" s="86">
        <v>130356</v>
      </c>
      <c r="O91" s="77" t="s">
        <v>2034</v>
      </c>
      <c r="P91" s="77" t="s">
        <v>1448</v>
      </c>
      <c r="Q91" s="77" t="s">
        <v>1448</v>
      </c>
      <c r="R91" s="77" t="s">
        <v>1448</v>
      </c>
      <c r="S91" s="77" t="s">
        <v>1448</v>
      </c>
      <c r="T91" s="77" t="s">
        <v>1448</v>
      </c>
      <c r="U91" s="77" t="s">
        <v>1448</v>
      </c>
      <c r="V91" s="77" t="s">
        <v>1448</v>
      </c>
      <c r="W91" s="77" t="s">
        <v>1448</v>
      </c>
      <c r="X91" s="77" t="s">
        <v>1448</v>
      </c>
      <c r="Y91" s="77" t="s">
        <v>1448</v>
      </c>
      <c r="Z91" s="77" t="s">
        <v>1448</v>
      </c>
      <c r="AA91" s="77" t="s">
        <v>1448</v>
      </c>
      <c r="AB91" s="77" t="s">
        <v>1448</v>
      </c>
      <c r="AC91" s="77" t="s">
        <v>1448</v>
      </c>
      <c r="AD91" s="77" t="s">
        <v>1448</v>
      </c>
      <c r="AE91" s="77" t="s">
        <v>1448</v>
      </c>
      <c r="AF91" s="77" t="s">
        <v>1448</v>
      </c>
      <c r="AG91" s="77" t="s">
        <v>1448</v>
      </c>
      <c r="AH91" s="77" t="s">
        <v>1448</v>
      </c>
      <c r="AI91" s="77" t="s">
        <v>1448</v>
      </c>
      <c r="AJ91" s="77" t="s">
        <v>1448</v>
      </c>
      <c r="AK91" s="77" t="s">
        <v>1448</v>
      </c>
      <c r="AL91" s="77" t="s">
        <v>1448</v>
      </c>
      <c r="AM91" s="77" t="s">
        <v>1448</v>
      </c>
      <c r="AN91" s="77" t="s">
        <v>1448</v>
      </c>
      <c r="AO91" s="77" t="s">
        <v>1448</v>
      </c>
      <c r="AP91" s="77" t="s">
        <v>1448</v>
      </c>
      <c r="AQ91" s="77" t="s">
        <v>1448</v>
      </c>
      <c r="AR91" s="77" t="s">
        <v>1448</v>
      </c>
      <c r="AS91" s="77" t="s">
        <v>1448</v>
      </c>
      <c r="AT91" s="77" t="s">
        <v>1448</v>
      </c>
      <c r="AU91" s="77" t="s">
        <v>1448</v>
      </c>
      <c r="AV91" s="77" t="s">
        <v>1448</v>
      </c>
      <c r="AW91" s="77" t="s">
        <v>1448</v>
      </c>
      <c r="AX91" s="77" t="s">
        <v>1448</v>
      </c>
      <c r="AY91" s="77" t="s">
        <v>1448</v>
      </c>
      <c r="AZ91" s="77" t="s">
        <v>1448</v>
      </c>
      <c r="BA91" s="77" t="s">
        <v>1448</v>
      </c>
      <c r="BB91" s="77" t="s">
        <v>1448</v>
      </c>
      <c r="BO91" s="77" t="b">
        <v>0</v>
      </c>
      <c r="BV91" s="77" t="str">
        <f>A91 &amp; "-" &amp; TEXT(B91, "jj/mm/aaaa") &amp; "-" &amp; COUNTIF($A$2:A223, A91)</f>
        <v>EP138DK-26/03/2024-1</v>
      </c>
      <c r="BX91" s="77" t="str">
        <v>DT996ZQ</v>
      </c>
    </row>
    <row r="92" spans="1:76" x14ac:dyDescent="0.2">
      <c r="A92" s="77" t="s">
        <v>2030</v>
      </c>
      <c r="B92" s="88">
        <v>45377.595925925925</v>
      </c>
      <c r="C92" s="77" t="s">
        <v>1013</v>
      </c>
      <c r="D92" s="77" t="s">
        <v>958</v>
      </c>
      <c r="E92" s="77" t="b">
        <v>1</v>
      </c>
      <c r="F92" s="77" t="b">
        <v>1</v>
      </c>
      <c r="G92" s="77" t="b">
        <v>1</v>
      </c>
      <c r="H92" s="77" t="b">
        <v>1</v>
      </c>
      <c r="I92" s="77" t="s">
        <v>302</v>
      </c>
      <c r="J92" s="77" t="s">
        <v>2033</v>
      </c>
      <c r="K92" s="77" t="s">
        <v>204</v>
      </c>
      <c r="L92" s="77" t="s">
        <v>128</v>
      </c>
      <c r="M92" s="77" t="s">
        <v>342</v>
      </c>
      <c r="N92" s="86">
        <v>75801</v>
      </c>
      <c r="O92" s="83">
        <v>46001</v>
      </c>
      <c r="Q92" s="77" t="s">
        <v>1448</v>
      </c>
      <c r="R92" s="77" t="s">
        <v>1448</v>
      </c>
      <c r="S92" s="77" t="s">
        <v>1448</v>
      </c>
      <c r="T92" s="77" t="s">
        <v>1448</v>
      </c>
      <c r="U92" s="77" t="s">
        <v>1448</v>
      </c>
      <c r="V92" s="77" t="s">
        <v>1448</v>
      </c>
      <c r="W92" s="77" t="s">
        <v>1448</v>
      </c>
      <c r="X92" s="77" t="s">
        <v>1448</v>
      </c>
      <c r="Y92" s="77" t="s">
        <v>1448</v>
      </c>
      <c r="Z92" s="77" t="s">
        <v>1448</v>
      </c>
      <c r="AA92" s="77" t="s">
        <v>1448</v>
      </c>
      <c r="AB92" s="77" t="s">
        <v>1448</v>
      </c>
      <c r="AC92" s="77" t="s">
        <v>1448</v>
      </c>
      <c r="AD92" s="77" t="s">
        <v>1448</v>
      </c>
      <c r="AE92" s="77" t="s">
        <v>1448</v>
      </c>
      <c r="AF92" s="77" t="s">
        <v>1448</v>
      </c>
      <c r="AG92" s="77" t="s">
        <v>1448</v>
      </c>
      <c r="AH92" s="77" t="s">
        <v>1448</v>
      </c>
      <c r="AI92" s="77" t="s">
        <v>1448</v>
      </c>
      <c r="AJ92" s="77" t="s">
        <v>1448</v>
      </c>
      <c r="AK92" s="77" t="s">
        <v>1448</v>
      </c>
      <c r="AL92" s="77" t="s">
        <v>1448</v>
      </c>
      <c r="AM92" s="77" t="s">
        <v>1448</v>
      </c>
      <c r="AN92" s="77" t="s">
        <v>1448</v>
      </c>
      <c r="AO92" s="77" t="s">
        <v>1448</v>
      </c>
      <c r="AP92" s="77" t="s">
        <v>1448</v>
      </c>
      <c r="AQ92" s="77" t="s">
        <v>1448</v>
      </c>
      <c r="AR92" s="77" t="s">
        <v>1448</v>
      </c>
      <c r="AS92" s="77" t="s">
        <v>1448</v>
      </c>
      <c r="AT92" s="77" t="s">
        <v>1448</v>
      </c>
      <c r="AU92" s="77" t="s">
        <v>1448</v>
      </c>
      <c r="AV92" s="77" t="s">
        <v>1448</v>
      </c>
      <c r="AW92" s="77" t="s">
        <v>1448</v>
      </c>
      <c r="AX92" s="77" t="s">
        <v>1448</v>
      </c>
      <c r="AY92" s="77" t="s">
        <v>1449</v>
      </c>
      <c r="AZ92" s="77" t="s">
        <v>1448</v>
      </c>
      <c r="BA92" s="77" t="s">
        <v>1449</v>
      </c>
      <c r="BB92" s="77" t="s">
        <v>1448</v>
      </c>
      <c r="BC92" s="79" t="s">
        <v>2048</v>
      </c>
      <c r="BD92" s="79" t="s">
        <v>2049</v>
      </c>
      <c r="BO92" s="77" t="b">
        <v>0</v>
      </c>
      <c r="BV92" s="77" t="str">
        <f>A92 &amp; "-" &amp; TEXT(B92, "jj/mm/aaaa") &amp; "-" &amp; COUNTIF($A$2:A223, A92)</f>
        <v>FE299SW-26/03/2024-1</v>
      </c>
      <c r="BX92" s="77" t="str">
        <v>DV413XT</v>
      </c>
    </row>
    <row r="93" spans="1:76" x14ac:dyDescent="0.2">
      <c r="A93" s="77" t="s">
        <v>2040</v>
      </c>
      <c r="B93" s="88">
        <v>45377.624942129631</v>
      </c>
      <c r="C93" s="77" t="s">
        <v>2041</v>
      </c>
      <c r="D93" s="77" t="s">
        <v>957</v>
      </c>
      <c r="E93" s="77" t="b">
        <v>0</v>
      </c>
      <c r="F93" s="77" t="b">
        <v>0</v>
      </c>
      <c r="G93" s="77" t="b">
        <v>0</v>
      </c>
      <c r="H93" s="77" t="b">
        <v>0</v>
      </c>
      <c r="I93" s="77" t="s">
        <v>238</v>
      </c>
      <c r="K93" s="77" t="s">
        <v>81</v>
      </c>
      <c r="L93" s="77" t="s">
        <v>128</v>
      </c>
      <c r="M93" s="77" t="s">
        <v>2043</v>
      </c>
      <c r="BC93" s="79" t="s">
        <v>2047</v>
      </c>
      <c r="BO93" s="77" t="b">
        <v>0</v>
      </c>
      <c r="BV93" s="77" t="str">
        <f>A93 &amp; "-" &amp; TEXT(B93, "jj/mm/aaaa") &amp; "-" &amp; COUNTIF($A$2:A223, A93)</f>
        <v>GT603MD-26/03/2024-1</v>
      </c>
      <c r="BX93" s="77" t="str">
        <v>DV492KH</v>
      </c>
    </row>
    <row r="94" spans="1:76" x14ac:dyDescent="0.2">
      <c r="A94" s="77" t="s">
        <v>2050</v>
      </c>
      <c r="B94" s="88">
        <v>45378.345821759256</v>
      </c>
      <c r="C94" s="77" t="s">
        <v>2051</v>
      </c>
      <c r="D94" s="77" t="s">
        <v>958</v>
      </c>
      <c r="E94" s="77" t="b">
        <v>0</v>
      </c>
      <c r="F94" s="77" t="b">
        <v>0</v>
      </c>
      <c r="G94" s="77" t="b">
        <v>0</v>
      </c>
      <c r="H94" s="77" t="b">
        <v>0</v>
      </c>
      <c r="I94" s="77" t="s">
        <v>82</v>
      </c>
      <c r="J94" s="77" t="s">
        <v>2054</v>
      </c>
      <c r="K94" s="77" t="s">
        <v>72</v>
      </c>
      <c r="L94" s="77" t="s">
        <v>73</v>
      </c>
      <c r="M94" s="77" t="s">
        <v>2053</v>
      </c>
      <c r="N94" s="86">
        <v>74542</v>
      </c>
      <c r="O94" s="83">
        <v>45725</v>
      </c>
      <c r="R94" s="77" t="s">
        <v>1448</v>
      </c>
      <c r="S94" s="77" t="s">
        <v>1448</v>
      </c>
      <c r="T94" s="77" t="s">
        <v>1448</v>
      </c>
      <c r="U94" s="77" t="s">
        <v>1448</v>
      </c>
      <c r="V94" s="77" t="s">
        <v>1448</v>
      </c>
      <c r="W94" s="77" t="s">
        <v>1448</v>
      </c>
      <c r="X94" s="77" t="s">
        <v>1449</v>
      </c>
      <c r="Z94" s="77" t="s">
        <v>1448</v>
      </c>
      <c r="AA94" s="77" t="s">
        <v>1448</v>
      </c>
      <c r="AB94" s="77" t="s">
        <v>1448</v>
      </c>
      <c r="AC94" s="77" t="s">
        <v>1448</v>
      </c>
      <c r="AD94" s="77" t="s">
        <v>1448</v>
      </c>
      <c r="AE94" s="77" t="s">
        <v>1448</v>
      </c>
      <c r="AF94" s="77" t="s">
        <v>1448</v>
      </c>
      <c r="AG94" s="77" t="s">
        <v>1448</v>
      </c>
      <c r="AH94" s="77" t="s">
        <v>1448</v>
      </c>
      <c r="AI94" s="77" t="s">
        <v>1448</v>
      </c>
      <c r="AJ94" s="77" t="s">
        <v>1450</v>
      </c>
      <c r="AK94" s="77" t="s">
        <v>1448</v>
      </c>
      <c r="AL94" s="77" t="s">
        <v>1448</v>
      </c>
      <c r="AM94" s="77" t="s">
        <v>1448</v>
      </c>
      <c r="AN94" s="77" t="s">
        <v>1448</v>
      </c>
      <c r="AO94" s="77" t="s">
        <v>1448</v>
      </c>
      <c r="AP94" s="77" t="s">
        <v>1448</v>
      </c>
      <c r="AR94" s="77" t="s">
        <v>1448</v>
      </c>
      <c r="AU94" s="77" t="s">
        <v>1448</v>
      </c>
      <c r="AV94" s="77" t="s">
        <v>1448</v>
      </c>
      <c r="AX94" s="77" t="s">
        <v>1448</v>
      </c>
      <c r="AY94" s="77" t="s">
        <v>1448</v>
      </c>
      <c r="AZ94" s="77" t="s">
        <v>1448</v>
      </c>
      <c r="BB94" s="77" t="s">
        <v>1448</v>
      </c>
      <c r="BC94" s="79" t="s">
        <v>2066</v>
      </c>
      <c r="BD94" s="79" t="s">
        <v>2067</v>
      </c>
      <c r="BE94" s="79" t="s">
        <v>2068</v>
      </c>
      <c r="BO94" s="77" t="b">
        <v>0</v>
      </c>
      <c r="BV94" s="77" t="str">
        <f>A94 &amp; "-" &amp; TEXT(B94, "jj/mm/aaaa") &amp; "-" &amp; COUNTIF($A$2:A223, A94)</f>
        <v>CW658MW-27/03/2024-1</v>
      </c>
      <c r="BX94" s="77" t="str">
        <v>DV503PY</v>
      </c>
    </row>
    <row r="95" spans="1:76" x14ac:dyDescent="0.2">
      <c r="A95" s="77" t="s">
        <v>2055</v>
      </c>
      <c r="B95" s="88">
        <v>45378.36078703704</v>
      </c>
      <c r="C95" s="77" t="s">
        <v>2056</v>
      </c>
      <c r="D95" s="77" t="s">
        <v>959</v>
      </c>
      <c r="E95" s="77" t="b">
        <v>0</v>
      </c>
      <c r="F95" s="77" t="b">
        <v>0</v>
      </c>
      <c r="G95" s="77" t="b">
        <v>0</v>
      </c>
      <c r="H95" s="77" t="b">
        <v>0</v>
      </c>
      <c r="I95" s="77" t="s">
        <v>477</v>
      </c>
      <c r="J95" s="77" t="s">
        <v>2060</v>
      </c>
      <c r="K95" s="77" t="s">
        <v>93</v>
      </c>
      <c r="L95" s="77" t="s">
        <v>131</v>
      </c>
      <c r="M95" s="77" t="s">
        <v>2057</v>
      </c>
      <c r="BC95" s="79" t="s">
        <v>2061</v>
      </c>
      <c r="BO95" s="77" t="b">
        <v>0</v>
      </c>
      <c r="BV95" s="77" t="str">
        <f>A95 &amp; "-" &amp; TEXT(B95, "jj/mm/aaaa") &amp; "-" &amp; COUNTIF($A$2:A223, A95)</f>
        <v>DV413XT-27/03/2024-1</v>
      </c>
      <c r="BX95" s="77" t="str">
        <v>DV858SJ</v>
      </c>
    </row>
    <row r="96" spans="1:76" x14ac:dyDescent="0.2">
      <c r="A96" s="77" t="s">
        <v>727</v>
      </c>
      <c r="B96" s="88">
        <v>45378.369155092594</v>
      </c>
      <c r="C96" s="77" t="s">
        <v>402</v>
      </c>
      <c r="D96" s="77" t="s">
        <v>957</v>
      </c>
      <c r="E96" s="77" t="b">
        <v>0</v>
      </c>
      <c r="F96" s="77" t="b">
        <v>0</v>
      </c>
      <c r="G96" s="77" t="b">
        <v>0</v>
      </c>
      <c r="H96" s="77" t="b">
        <v>0</v>
      </c>
      <c r="L96" s="77" t="s">
        <v>139</v>
      </c>
      <c r="M96" s="77" t="s">
        <v>403</v>
      </c>
      <c r="N96" s="86">
        <v>217437</v>
      </c>
      <c r="BC96" s="79" t="s">
        <v>2063</v>
      </c>
      <c r="BO96" s="77" t="b">
        <v>0</v>
      </c>
      <c r="BV96" s="77" t="str">
        <f>A96 &amp; "-" &amp; TEXT(B96, "jj/mm/aaaa") &amp; "-" &amp; COUNTIF($A$2:A223, A96)</f>
        <v>FK926GY-27/03/2024-1</v>
      </c>
      <c r="BX96" s="77" t="str">
        <v>DV897TS</v>
      </c>
    </row>
    <row r="97" spans="1:76" x14ac:dyDescent="0.2">
      <c r="A97" s="77" t="s">
        <v>915</v>
      </c>
      <c r="B97" s="88">
        <v>45378.449641203704</v>
      </c>
      <c r="C97" s="77" t="s">
        <v>909</v>
      </c>
      <c r="D97" s="77" t="s">
        <v>959</v>
      </c>
      <c r="E97" s="77" t="b">
        <v>0</v>
      </c>
      <c r="F97" s="77" t="b">
        <v>0</v>
      </c>
      <c r="G97" s="77" t="b">
        <v>0</v>
      </c>
      <c r="H97" s="77" t="b">
        <v>0</v>
      </c>
      <c r="I97" s="77" t="s">
        <v>82</v>
      </c>
      <c r="J97" s="77">
        <v>20</v>
      </c>
      <c r="K97" s="77" t="s">
        <v>231</v>
      </c>
      <c r="L97" s="77" t="s">
        <v>210</v>
      </c>
      <c r="M97" s="77" t="s">
        <v>928</v>
      </c>
      <c r="N97" s="86">
        <v>227487</v>
      </c>
      <c r="BC97" s="79" t="s">
        <v>2069</v>
      </c>
      <c r="BO97" s="77" t="b">
        <v>0</v>
      </c>
      <c r="BV97" s="77" t="str">
        <f>A97 &amp; "-" &amp; TEXT(B97, "jj/mm/aaaa") &amp; "-" &amp; COUNTIF($A$2:A223, A97)</f>
        <v>DK713QA-27/03/2024-1</v>
      </c>
      <c r="BX97" s="77" t="str">
        <v>DW112AX</v>
      </c>
    </row>
    <row r="98" spans="1:76" x14ac:dyDescent="0.2">
      <c r="A98" s="77" t="s">
        <v>2073</v>
      </c>
      <c r="B98" s="88">
        <v>45378.586377314816</v>
      </c>
      <c r="C98" s="77" t="s">
        <v>392</v>
      </c>
      <c r="D98" s="77" t="s">
        <v>958</v>
      </c>
      <c r="E98" s="77" t="b">
        <v>0</v>
      </c>
      <c r="F98" s="77" t="b">
        <v>0</v>
      </c>
      <c r="G98" s="77" t="b">
        <v>0</v>
      </c>
      <c r="H98" s="77" t="b">
        <v>0</v>
      </c>
      <c r="I98" s="77" t="s">
        <v>94</v>
      </c>
      <c r="J98" s="77" t="s">
        <v>1104</v>
      </c>
      <c r="K98" s="77" t="s">
        <v>2072</v>
      </c>
      <c r="L98" s="77" t="s">
        <v>111</v>
      </c>
      <c r="M98" s="77">
        <v>208</v>
      </c>
      <c r="N98" s="86">
        <v>139447</v>
      </c>
      <c r="BC98" s="79" t="s">
        <v>2074</v>
      </c>
      <c r="BO98" s="77" t="b">
        <v>0</v>
      </c>
      <c r="BV98" s="77" t="str">
        <f>A98 &amp; "-" &amp; TEXT(B98, "jj/mm/aaaa") &amp; "-" &amp; COUNTIF($A$2:A223, A98)</f>
        <v>DW494PX-27/03/2024-1</v>
      </c>
      <c r="BX98" s="77" t="str">
        <v>DW494PX</v>
      </c>
    </row>
    <row r="99" spans="1:76" x14ac:dyDescent="0.2">
      <c r="A99" s="77" t="s">
        <v>2079</v>
      </c>
      <c r="B99" s="88">
        <v>45379.367766203701</v>
      </c>
      <c r="C99" s="77" t="s">
        <v>2080</v>
      </c>
      <c r="D99" s="77" t="s">
        <v>957</v>
      </c>
      <c r="E99" s="77" t="b">
        <v>1</v>
      </c>
      <c r="F99" s="77" t="b">
        <v>1</v>
      </c>
      <c r="G99" s="77" t="b">
        <v>1</v>
      </c>
      <c r="H99" s="77" t="b">
        <v>0</v>
      </c>
      <c r="I99" s="77" t="s">
        <v>2086</v>
      </c>
      <c r="J99" s="77" t="s">
        <v>2054</v>
      </c>
      <c r="K99" s="77" t="s">
        <v>2085</v>
      </c>
      <c r="L99" s="77" t="s">
        <v>73</v>
      </c>
      <c r="M99" s="77" t="s">
        <v>2081</v>
      </c>
      <c r="N99" s="86">
        <v>153918</v>
      </c>
      <c r="BC99" s="79" t="s">
        <v>2087</v>
      </c>
      <c r="BD99" s="79" t="s">
        <v>2088</v>
      </c>
      <c r="BO99" s="77" t="b">
        <v>0</v>
      </c>
      <c r="BV99" s="77" t="str">
        <f>A99 &amp; "-" &amp; TEXT(B99, "jj/mm/aaaa") &amp; "-" &amp; COUNTIF($A$2:A223, A99)</f>
        <v>CJ857WY-28/03/2024-1</v>
      </c>
      <c r="BX99" s="77" t="str">
        <v>DW570MQ</v>
      </c>
    </row>
    <row r="100" spans="1:76" x14ac:dyDescent="0.2">
      <c r="A100" s="77" t="s">
        <v>487</v>
      </c>
      <c r="B100" s="88">
        <v>45379.482430555552</v>
      </c>
      <c r="C100" s="77" t="s">
        <v>425</v>
      </c>
      <c r="E100" s="77" t="b">
        <v>1</v>
      </c>
      <c r="F100" s="77" t="b">
        <v>0</v>
      </c>
      <c r="G100" s="77" t="b">
        <v>0</v>
      </c>
      <c r="H100" s="77" t="b">
        <v>0</v>
      </c>
      <c r="I100" s="77" t="s">
        <v>473</v>
      </c>
      <c r="J100" s="77">
        <v>34</v>
      </c>
      <c r="K100" s="77" t="s">
        <v>472</v>
      </c>
      <c r="L100" s="77" t="s">
        <v>111</v>
      </c>
      <c r="M100" s="77" t="s">
        <v>384</v>
      </c>
      <c r="N100" s="86">
        <v>217151</v>
      </c>
      <c r="BO100" s="77" t="b">
        <v>0</v>
      </c>
      <c r="BV100" s="77" t="str">
        <f>A100 &amp; "-" &amp; TEXT(B100, "jj/mm/aaaa") &amp; "-" &amp; COUNTIF($A$2:A223, A100)</f>
        <v>EB094YL-28/03/2024-1</v>
      </c>
      <c r="BX100" s="77" t="str">
        <v>DX167KJ</v>
      </c>
    </row>
    <row r="101" spans="1:76" x14ac:dyDescent="0.2">
      <c r="A101" s="77" t="s">
        <v>2089</v>
      </c>
      <c r="B101" s="88">
        <v>45379.608124999999</v>
      </c>
      <c r="C101" s="77" t="s">
        <v>2090</v>
      </c>
      <c r="D101" s="77" t="s">
        <v>957</v>
      </c>
      <c r="E101" s="77" t="b">
        <v>1</v>
      </c>
      <c r="F101" s="77" t="b">
        <v>1</v>
      </c>
      <c r="G101" s="77" t="b">
        <v>1</v>
      </c>
      <c r="H101" s="77" t="b">
        <v>0</v>
      </c>
      <c r="I101" s="77" t="s">
        <v>302</v>
      </c>
      <c r="J101" s="77" t="s">
        <v>1173</v>
      </c>
      <c r="K101" s="77" t="s">
        <v>204</v>
      </c>
      <c r="L101" s="77" t="s">
        <v>128</v>
      </c>
      <c r="M101" s="77" t="s">
        <v>342</v>
      </c>
      <c r="N101" s="86">
        <v>133143</v>
      </c>
      <c r="BC101" s="79" t="s">
        <v>2092</v>
      </c>
      <c r="BD101" s="79" t="s">
        <v>2093</v>
      </c>
      <c r="BE101" s="79" t="s">
        <v>2094</v>
      </c>
      <c r="BO101" s="77" t="b">
        <v>0</v>
      </c>
      <c r="BV101" s="77" t="str">
        <f>A101 &amp; "-" &amp; TEXT(B101, "jj/mm/aaaa") &amp; "-" &amp; COUNTIF($A$2:A223, A101)</f>
        <v>DL159DS-28/03/2024-1</v>
      </c>
      <c r="BX101" s="77" t="str">
        <v>DX181TA</v>
      </c>
    </row>
    <row r="102" spans="1:76" x14ac:dyDescent="0.2">
      <c r="A102" s="77" t="s">
        <v>1983</v>
      </c>
      <c r="B102" s="88">
        <v>45384.391423611109</v>
      </c>
      <c r="C102" s="77" t="s">
        <v>1984</v>
      </c>
      <c r="D102" s="77" t="s">
        <v>957</v>
      </c>
      <c r="E102" s="77" t="b">
        <v>0</v>
      </c>
      <c r="F102" s="77" t="b">
        <v>0</v>
      </c>
      <c r="G102" s="77" t="b">
        <v>0</v>
      </c>
      <c r="H102" s="77" t="b">
        <v>0</v>
      </c>
      <c r="I102" s="77" t="s">
        <v>302</v>
      </c>
      <c r="J102" s="77" t="s">
        <v>1986</v>
      </c>
      <c r="K102" s="77" t="s">
        <v>1527</v>
      </c>
      <c r="L102" s="77" t="s">
        <v>128</v>
      </c>
      <c r="M102" s="77" t="s">
        <v>1644</v>
      </c>
      <c r="BC102" s="79" t="s">
        <v>2095</v>
      </c>
      <c r="BO102" s="77" t="b">
        <v>0</v>
      </c>
      <c r="BV102" s="77" t="str">
        <f>A102 &amp; "-" &amp; TEXT(B102, "jj/mm/aaaa") &amp; "-" &amp; COUNTIF($A$2:A223, A102)</f>
        <v>AC811ZB-02/04/2024-2</v>
      </c>
      <c r="BX102" s="77" t="str">
        <v>DX460VY</v>
      </c>
    </row>
    <row r="103" spans="1:76" x14ac:dyDescent="0.2">
      <c r="A103" s="77" t="s">
        <v>826</v>
      </c>
      <c r="B103" s="88">
        <v>45384.397499999999</v>
      </c>
      <c r="C103" s="77" t="s">
        <v>753</v>
      </c>
      <c r="D103" s="77" t="s">
        <v>959</v>
      </c>
      <c r="E103" s="77" t="b">
        <v>0</v>
      </c>
      <c r="F103" s="77" t="b">
        <v>0</v>
      </c>
      <c r="G103" s="77" t="b">
        <v>0</v>
      </c>
      <c r="H103" s="77" t="b">
        <v>0</v>
      </c>
      <c r="I103" s="77" t="s">
        <v>115</v>
      </c>
      <c r="K103" s="77" t="s">
        <v>72</v>
      </c>
      <c r="L103" s="77" t="s">
        <v>213</v>
      </c>
      <c r="M103" s="77" t="s">
        <v>2096</v>
      </c>
      <c r="Q103" s="77" t="s">
        <v>1448</v>
      </c>
      <c r="R103" s="77" t="s">
        <v>1449</v>
      </c>
      <c r="S103" s="77" t="s">
        <v>1448</v>
      </c>
      <c r="T103" s="77" t="s">
        <v>1448</v>
      </c>
      <c r="U103" s="77" t="s">
        <v>1448</v>
      </c>
      <c r="V103" s="77" t="s">
        <v>1448</v>
      </c>
      <c r="W103" s="77" t="s">
        <v>1450</v>
      </c>
      <c r="X103" s="77" t="s">
        <v>1448</v>
      </c>
      <c r="Y103" s="77" t="s">
        <v>1448</v>
      </c>
      <c r="Z103" s="77" t="s">
        <v>1448</v>
      </c>
      <c r="AA103" s="77" t="s">
        <v>1448</v>
      </c>
      <c r="AB103" s="77" t="s">
        <v>1448</v>
      </c>
      <c r="AC103" s="77" t="s">
        <v>1449</v>
      </c>
      <c r="AD103" s="77" t="s">
        <v>1448</v>
      </c>
      <c r="AE103" s="77" t="s">
        <v>1448</v>
      </c>
      <c r="AF103" s="77" t="s">
        <v>1448</v>
      </c>
      <c r="AG103" s="77" t="s">
        <v>1448</v>
      </c>
      <c r="AH103" s="77" t="s">
        <v>1448</v>
      </c>
      <c r="AI103" s="77" t="s">
        <v>1448</v>
      </c>
      <c r="AJ103" s="77" t="s">
        <v>1450</v>
      </c>
      <c r="AK103" s="77" t="s">
        <v>1448</v>
      </c>
      <c r="AL103" s="77" t="s">
        <v>1449</v>
      </c>
      <c r="AM103" s="77" t="s">
        <v>1449</v>
      </c>
      <c r="AN103" s="77" t="s">
        <v>1448</v>
      </c>
      <c r="AO103" s="77" t="s">
        <v>1448</v>
      </c>
      <c r="AP103" s="77" t="s">
        <v>1448</v>
      </c>
      <c r="AQ103" s="77" t="s">
        <v>1448</v>
      </c>
      <c r="AR103" s="77" t="s">
        <v>1448</v>
      </c>
      <c r="AS103" s="77" t="s">
        <v>1449</v>
      </c>
      <c r="AT103" s="77" t="s">
        <v>1448</v>
      </c>
      <c r="AU103" s="77" t="s">
        <v>1448</v>
      </c>
      <c r="AV103" s="77" t="s">
        <v>1448</v>
      </c>
      <c r="AW103" s="77" t="s">
        <v>1448</v>
      </c>
      <c r="AX103" s="77" t="s">
        <v>1448</v>
      </c>
      <c r="AY103" s="77" t="s">
        <v>1448</v>
      </c>
      <c r="AZ103" s="77" t="s">
        <v>1448</v>
      </c>
      <c r="BA103" s="77" t="s">
        <v>1448</v>
      </c>
      <c r="BB103" s="77" t="s">
        <v>1448</v>
      </c>
      <c r="BC103" s="79" t="s">
        <v>2106</v>
      </c>
      <c r="BD103" s="79" t="s">
        <v>2107</v>
      </c>
      <c r="BE103" s="79" t="s">
        <v>2108</v>
      </c>
      <c r="BF103" s="79" t="s">
        <v>2109</v>
      </c>
      <c r="BG103" s="79" t="s">
        <v>2110</v>
      </c>
      <c r="BO103" s="77" t="b">
        <v>0</v>
      </c>
      <c r="BV103" s="77" t="str">
        <f>A103 &amp; "-" &amp; TEXT(B103, "jj/mm/aaaa") &amp; "-" &amp; COUNTIF($A$2:A223, A103)</f>
        <v>EQ476DZ-02/04/2024-1</v>
      </c>
      <c r="BX103" s="77" t="str">
        <v>DX667ET</v>
      </c>
    </row>
    <row r="104" spans="1:76" x14ac:dyDescent="0.2">
      <c r="A104" s="77" t="s">
        <v>2099</v>
      </c>
      <c r="B104" s="88">
        <v>45384.675266203703</v>
      </c>
      <c r="C104" s="77" t="s">
        <v>2100</v>
      </c>
      <c r="D104" s="77" t="s">
        <v>958</v>
      </c>
      <c r="E104" s="77" t="b">
        <v>0</v>
      </c>
      <c r="F104" s="77" t="b">
        <v>0</v>
      </c>
      <c r="G104" s="77" t="b">
        <v>0</v>
      </c>
      <c r="H104" s="77" t="b">
        <v>0</v>
      </c>
      <c r="I104" s="77" t="s">
        <v>477</v>
      </c>
      <c r="J104" s="77" t="s">
        <v>2060</v>
      </c>
      <c r="K104" s="77" t="s">
        <v>130</v>
      </c>
      <c r="L104" s="77" t="s">
        <v>131</v>
      </c>
      <c r="M104" s="77" t="s">
        <v>132</v>
      </c>
      <c r="BC104" s="79" t="s">
        <v>2103</v>
      </c>
      <c r="BD104" s="79" t="s">
        <v>2105</v>
      </c>
      <c r="BE104" s="79" t="s">
        <v>2104</v>
      </c>
      <c r="BO104" s="77" t="b">
        <v>0</v>
      </c>
      <c r="BV104" s="77" t="str">
        <f>A104 &amp; "-" &amp; TEXT(B104, "jj/mm/aaaa") &amp; "-" &amp; COUNTIF($A$2:A223, A104)</f>
        <v>AW422GJ-02/04/2024-1</v>
      </c>
      <c r="BX104" s="77" t="str">
        <v>DX669ME</v>
      </c>
    </row>
    <row r="105" spans="1:76" x14ac:dyDescent="0.2">
      <c r="A105" s="77" t="s">
        <v>2111</v>
      </c>
      <c r="B105" s="88">
        <v>45386.557453703703</v>
      </c>
      <c r="C105" s="77" t="s">
        <v>175</v>
      </c>
      <c r="D105" s="77" t="s">
        <v>958</v>
      </c>
      <c r="E105" s="77" t="b">
        <v>1</v>
      </c>
      <c r="F105" s="77" t="b">
        <v>1</v>
      </c>
      <c r="G105" s="77" t="b">
        <v>1</v>
      </c>
      <c r="H105" s="77" t="b">
        <v>0</v>
      </c>
      <c r="I105" s="77" t="s">
        <v>477</v>
      </c>
      <c r="J105" s="77" t="s">
        <v>1081</v>
      </c>
      <c r="K105" s="77" t="s">
        <v>130</v>
      </c>
      <c r="L105" s="77" t="s">
        <v>131</v>
      </c>
      <c r="M105" s="77" t="s">
        <v>132</v>
      </c>
      <c r="N105" s="86">
        <v>56123</v>
      </c>
      <c r="P105" s="77" t="s">
        <v>1448</v>
      </c>
      <c r="Q105" s="77" t="s">
        <v>1448</v>
      </c>
      <c r="R105" s="77" t="s">
        <v>1448</v>
      </c>
      <c r="S105" s="77" t="s">
        <v>1448</v>
      </c>
      <c r="T105" s="77" t="s">
        <v>1448</v>
      </c>
      <c r="U105" s="77" t="s">
        <v>1448</v>
      </c>
      <c r="V105" s="77" t="s">
        <v>1448</v>
      </c>
      <c r="W105" s="77" t="s">
        <v>1448</v>
      </c>
      <c r="X105" s="77" t="s">
        <v>1448</v>
      </c>
      <c r="Y105" s="77" t="s">
        <v>1448</v>
      </c>
      <c r="Z105" s="77" t="s">
        <v>1448</v>
      </c>
      <c r="AA105" s="77" t="s">
        <v>1448</v>
      </c>
      <c r="AB105" s="77" t="s">
        <v>1448</v>
      </c>
      <c r="AC105" s="77" t="s">
        <v>1448</v>
      </c>
      <c r="AD105" s="77" t="s">
        <v>1448</v>
      </c>
      <c r="AE105" s="77" t="s">
        <v>1448</v>
      </c>
      <c r="AF105" s="77" t="s">
        <v>1448</v>
      </c>
      <c r="AG105" s="77" t="s">
        <v>1448</v>
      </c>
      <c r="AH105" s="77" t="s">
        <v>1448</v>
      </c>
      <c r="AI105" s="77" t="s">
        <v>1448</v>
      </c>
      <c r="AJ105" s="77" t="s">
        <v>1450</v>
      </c>
      <c r="AK105" s="77" t="s">
        <v>1448</v>
      </c>
      <c r="AL105" s="77" t="s">
        <v>1448</v>
      </c>
      <c r="AM105" s="77" t="s">
        <v>1448</v>
      </c>
      <c r="AN105" s="77" t="s">
        <v>1448</v>
      </c>
      <c r="AO105" s="77" t="s">
        <v>1448</v>
      </c>
      <c r="AP105" s="77" t="s">
        <v>1448</v>
      </c>
      <c r="AQ105" s="77" t="s">
        <v>1448</v>
      </c>
      <c r="AR105" s="77" t="s">
        <v>1448</v>
      </c>
      <c r="AS105" s="77" t="s">
        <v>1448</v>
      </c>
      <c r="AT105" s="77" t="s">
        <v>1448</v>
      </c>
      <c r="AU105" s="77" t="s">
        <v>1448</v>
      </c>
      <c r="AV105" s="77" t="s">
        <v>1448</v>
      </c>
      <c r="AW105" s="77" t="s">
        <v>1448</v>
      </c>
      <c r="AX105" s="77" t="s">
        <v>1448</v>
      </c>
      <c r="AY105" s="77" t="s">
        <v>1448</v>
      </c>
      <c r="AZ105" s="77" t="s">
        <v>1448</v>
      </c>
      <c r="BA105" s="77" t="s">
        <v>1448</v>
      </c>
      <c r="BB105" s="77" t="s">
        <v>1448</v>
      </c>
      <c r="BC105" s="79" t="s">
        <v>2117</v>
      </c>
      <c r="BO105" s="77" t="b">
        <v>0</v>
      </c>
      <c r="BV105" s="77" t="str">
        <f>A105 &amp; "-" &amp; TEXT(B105, "jj/mm/aaaa") &amp; "-" &amp; COUNTIF($A$2:A223, A105)</f>
        <v>FG127CT-04/04/2024-1</v>
      </c>
      <c r="BX105" s="77" t="str">
        <v>DY317LS</v>
      </c>
    </row>
    <row r="106" spans="1:76" x14ac:dyDescent="0.2">
      <c r="A106" s="77" t="s">
        <v>2118</v>
      </c>
      <c r="B106" s="88">
        <v>45386.653622685182</v>
      </c>
      <c r="C106" s="77" t="s">
        <v>2119</v>
      </c>
      <c r="D106" s="77" t="s">
        <v>958</v>
      </c>
      <c r="E106" s="77" t="b">
        <v>1</v>
      </c>
      <c r="F106" s="77" t="b">
        <v>0</v>
      </c>
      <c r="G106" s="77" t="b">
        <v>0</v>
      </c>
      <c r="H106" s="77" t="b">
        <v>0</v>
      </c>
      <c r="I106" s="77" t="s">
        <v>1871</v>
      </c>
      <c r="J106" s="77" t="s">
        <v>1484</v>
      </c>
      <c r="K106" s="77" t="s">
        <v>231</v>
      </c>
      <c r="L106" s="77" t="s">
        <v>105</v>
      </c>
      <c r="M106" s="77" t="s">
        <v>300</v>
      </c>
      <c r="N106" s="86">
        <v>44953</v>
      </c>
      <c r="BC106" s="79" t="s">
        <v>2122</v>
      </c>
      <c r="BD106" s="79" t="s">
        <v>2123</v>
      </c>
      <c r="BO106" s="77" t="b">
        <v>0</v>
      </c>
      <c r="BV106" s="77" t="str">
        <f>A106 &amp; "-" &amp; TEXT(B106, "jj/mm/aaaa") &amp; "-" &amp; COUNTIF($A$2:A223, A106)</f>
        <v>EW891LN-04/04/2024-1</v>
      </c>
      <c r="BX106" s="77" t="str">
        <v>DY757RJ</v>
      </c>
    </row>
    <row r="107" spans="1:76" x14ac:dyDescent="0.2">
      <c r="A107" s="77" t="s">
        <v>2124</v>
      </c>
      <c r="B107" s="88">
        <v>45387.371006944442</v>
      </c>
      <c r="C107" s="77" t="s">
        <v>2125</v>
      </c>
      <c r="D107" s="77" t="s">
        <v>958</v>
      </c>
      <c r="E107" s="77" t="b">
        <v>1</v>
      </c>
      <c r="F107" s="77" t="b">
        <v>1</v>
      </c>
      <c r="G107" s="77" t="b">
        <v>1</v>
      </c>
      <c r="H107" s="77" t="b">
        <v>1</v>
      </c>
      <c r="I107" s="77" t="s">
        <v>302</v>
      </c>
      <c r="J107" s="77" t="s">
        <v>1555</v>
      </c>
      <c r="K107" s="77" t="s">
        <v>1792</v>
      </c>
      <c r="L107" s="77" t="s">
        <v>173</v>
      </c>
      <c r="M107" s="77" t="s">
        <v>174</v>
      </c>
      <c r="N107" s="86">
        <v>57071</v>
      </c>
      <c r="Q107" s="77" t="s">
        <v>1448</v>
      </c>
      <c r="R107" s="77" t="s">
        <v>1448</v>
      </c>
      <c r="S107" s="77" t="s">
        <v>1448</v>
      </c>
      <c r="T107" s="77" t="s">
        <v>1448</v>
      </c>
      <c r="U107" s="77" t="s">
        <v>1448</v>
      </c>
      <c r="V107" s="77" t="s">
        <v>1448</v>
      </c>
      <c r="W107" s="77" t="s">
        <v>1448</v>
      </c>
      <c r="X107" s="77" t="s">
        <v>1448</v>
      </c>
      <c r="Y107" s="77" t="s">
        <v>1448</v>
      </c>
      <c r="Z107" s="77" t="s">
        <v>1448</v>
      </c>
      <c r="AA107" s="77" t="s">
        <v>1448</v>
      </c>
      <c r="AB107" s="77" t="s">
        <v>1448</v>
      </c>
      <c r="AC107" s="77" t="s">
        <v>1448</v>
      </c>
      <c r="AD107" s="77" t="s">
        <v>1448</v>
      </c>
      <c r="AE107" s="77" t="s">
        <v>1448</v>
      </c>
      <c r="AF107" s="77" t="s">
        <v>1448</v>
      </c>
      <c r="AG107" s="77" t="s">
        <v>1448</v>
      </c>
      <c r="AH107" s="77" t="s">
        <v>1448</v>
      </c>
      <c r="AI107" s="77" t="s">
        <v>1448</v>
      </c>
      <c r="AJ107" s="77" t="s">
        <v>1448</v>
      </c>
      <c r="AK107" s="77" t="s">
        <v>1448</v>
      </c>
      <c r="AL107" s="77" t="s">
        <v>1448</v>
      </c>
      <c r="AM107" s="77" t="s">
        <v>1448</v>
      </c>
      <c r="AN107" s="77" t="s">
        <v>1448</v>
      </c>
      <c r="AO107" s="77" t="s">
        <v>1448</v>
      </c>
      <c r="AP107" s="77" t="s">
        <v>1448</v>
      </c>
      <c r="AQ107" s="77" t="s">
        <v>1448</v>
      </c>
      <c r="AR107" s="77" t="s">
        <v>1448</v>
      </c>
      <c r="AS107" s="77" t="s">
        <v>1448</v>
      </c>
      <c r="AT107" s="77" t="s">
        <v>1448</v>
      </c>
      <c r="AU107" s="77" t="s">
        <v>1448</v>
      </c>
      <c r="AV107" s="77" t="s">
        <v>1448</v>
      </c>
      <c r="AW107" s="77" t="s">
        <v>1448</v>
      </c>
      <c r="AX107" s="77" t="s">
        <v>1448</v>
      </c>
      <c r="AY107" s="77" t="s">
        <v>1448</v>
      </c>
      <c r="AZ107" s="77" t="s">
        <v>1448</v>
      </c>
      <c r="BA107" s="77" t="s">
        <v>1448</v>
      </c>
      <c r="BB107" s="77" t="s">
        <v>1448</v>
      </c>
      <c r="BC107" s="79" t="s">
        <v>2133</v>
      </c>
      <c r="BO107" s="77" t="b">
        <v>0</v>
      </c>
      <c r="BV107" s="77" t="str">
        <f>A107 &amp; "-" &amp; TEXT(B107, "jj/mm/aaaa") &amp; "-" &amp; COUNTIF($A$2:A223, A107)</f>
        <v>FY044CK-05/04/2024-1</v>
      </c>
      <c r="BX107" s="77" t="str">
        <v>DZ014VV</v>
      </c>
    </row>
    <row r="108" spans="1:76" x14ac:dyDescent="0.2">
      <c r="A108" s="77" t="s">
        <v>2128</v>
      </c>
      <c r="B108" s="88">
        <v>45387.423310185186</v>
      </c>
      <c r="C108" s="77" t="s">
        <v>2129</v>
      </c>
      <c r="D108" s="77" t="s">
        <v>957</v>
      </c>
      <c r="E108" s="77" t="b">
        <v>0</v>
      </c>
      <c r="F108" s="77" t="b">
        <v>0</v>
      </c>
      <c r="G108" s="77" t="b">
        <v>0</v>
      </c>
      <c r="H108" s="77" t="b">
        <v>0</v>
      </c>
      <c r="I108" s="77" t="s">
        <v>94</v>
      </c>
      <c r="J108" s="77" t="s">
        <v>1484</v>
      </c>
      <c r="K108" s="77" t="s">
        <v>77</v>
      </c>
      <c r="L108" s="77" t="s">
        <v>122</v>
      </c>
      <c r="M108" s="77" t="s">
        <v>2131</v>
      </c>
      <c r="N108" s="86">
        <v>230575</v>
      </c>
      <c r="Q108" s="77" t="s">
        <v>1448</v>
      </c>
      <c r="R108" s="77" t="s">
        <v>1448</v>
      </c>
      <c r="S108" s="77" t="s">
        <v>1448</v>
      </c>
      <c r="T108" s="77" t="s">
        <v>1448</v>
      </c>
      <c r="U108" s="77" t="s">
        <v>1448</v>
      </c>
      <c r="V108" s="77" t="s">
        <v>1449</v>
      </c>
      <c r="W108" s="77" t="s">
        <v>1449</v>
      </c>
      <c r="X108" s="77" t="s">
        <v>1449</v>
      </c>
      <c r="Y108" s="77" t="s">
        <v>1448</v>
      </c>
      <c r="Z108" s="77" t="s">
        <v>1448</v>
      </c>
      <c r="AA108" s="77" t="s">
        <v>1448</v>
      </c>
      <c r="AB108" s="77" t="s">
        <v>1448</v>
      </c>
      <c r="AC108" s="77" t="s">
        <v>1448</v>
      </c>
      <c r="AD108" s="77" t="s">
        <v>1449</v>
      </c>
      <c r="AE108" s="77" t="s">
        <v>1448</v>
      </c>
      <c r="AF108" s="77" t="s">
        <v>1448</v>
      </c>
      <c r="AG108" s="77" t="s">
        <v>1448</v>
      </c>
      <c r="AH108" s="77" t="s">
        <v>1448</v>
      </c>
      <c r="AI108" s="77" t="s">
        <v>1448</v>
      </c>
      <c r="AJ108" s="77" t="s">
        <v>1448</v>
      </c>
      <c r="AK108" s="77" t="s">
        <v>1448</v>
      </c>
      <c r="AL108" s="77" t="s">
        <v>1449</v>
      </c>
      <c r="AM108" s="77" t="s">
        <v>1448</v>
      </c>
      <c r="AN108" s="77" t="s">
        <v>1449</v>
      </c>
      <c r="AO108" s="77" t="s">
        <v>1449</v>
      </c>
      <c r="AP108" s="77" t="s">
        <v>1449</v>
      </c>
      <c r="AQ108" s="77" t="s">
        <v>1448</v>
      </c>
      <c r="AR108" s="77" t="s">
        <v>1448</v>
      </c>
      <c r="AS108" s="77" t="s">
        <v>1448</v>
      </c>
      <c r="AT108" s="77" t="s">
        <v>1450</v>
      </c>
      <c r="AU108" s="77" t="s">
        <v>1448</v>
      </c>
      <c r="AV108" s="77" t="s">
        <v>1448</v>
      </c>
      <c r="AW108" s="77" t="s">
        <v>1448</v>
      </c>
      <c r="AX108" s="77" t="s">
        <v>1448</v>
      </c>
      <c r="AY108" s="77" t="s">
        <v>1448</v>
      </c>
      <c r="AZ108" s="77" t="s">
        <v>1449</v>
      </c>
      <c r="BA108" s="77" t="s">
        <v>1449</v>
      </c>
      <c r="BB108" s="77" t="s">
        <v>1449</v>
      </c>
      <c r="BC108" s="79" t="s">
        <v>2157</v>
      </c>
      <c r="BD108" s="79" t="s">
        <v>2151</v>
      </c>
      <c r="BE108" s="79" t="s">
        <v>2158</v>
      </c>
      <c r="BF108" s="79" t="s">
        <v>2159</v>
      </c>
      <c r="BG108" s="79" t="s">
        <v>2160</v>
      </c>
      <c r="BH108" s="79" t="s">
        <v>2161</v>
      </c>
      <c r="BI108" s="79" t="s">
        <v>2162</v>
      </c>
      <c r="BJ108" s="79" t="s">
        <v>2163</v>
      </c>
      <c r="BK108" s="79" t="s">
        <v>2164</v>
      </c>
      <c r="BL108" s="79" t="s">
        <v>2165</v>
      </c>
      <c r="BO108" s="77" t="b">
        <v>0</v>
      </c>
      <c r="BV108" s="77" t="str">
        <f>A108 &amp; "-" &amp; TEXT(B108, "jj/mm/aaaa") &amp; "-" &amp; COUNTIF($A$2:A223, A108)</f>
        <v>AE087WD-05/04/2024-2</v>
      </c>
      <c r="BX108" s="77" t="str">
        <v>DZ382CF</v>
      </c>
    </row>
    <row r="109" spans="1:76" x14ac:dyDescent="0.2">
      <c r="A109" s="77" t="s">
        <v>2134</v>
      </c>
      <c r="B109" s="88">
        <v>45387.455023148148</v>
      </c>
      <c r="C109" s="77" t="s">
        <v>1013</v>
      </c>
      <c r="D109" s="77" t="s">
        <v>957</v>
      </c>
      <c r="E109" s="77" t="b">
        <v>1</v>
      </c>
      <c r="F109" s="77" t="b">
        <v>1</v>
      </c>
      <c r="G109" s="77" t="b">
        <v>1</v>
      </c>
      <c r="H109" s="77" t="b">
        <v>0</v>
      </c>
      <c r="I109" s="77" t="s">
        <v>1725</v>
      </c>
      <c r="J109" s="77" t="s">
        <v>1173</v>
      </c>
      <c r="K109" s="77" t="s">
        <v>2136</v>
      </c>
      <c r="L109" s="77" t="s">
        <v>1788</v>
      </c>
      <c r="M109" s="77" t="s">
        <v>497</v>
      </c>
      <c r="N109" s="86">
        <v>97710</v>
      </c>
      <c r="O109" s="77" t="s">
        <v>2222</v>
      </c>
      <c r="Q109" s="77" t="s">
        <v>1448</v>
      </c>
      <c r="R109" s="77" t="s">
        <v>1448</v>
      </c>
      <c r="S109" s="77" t="s">
        <v>1448</v>
      </c>
      <c r="T109" s="77" t="s">
        <v>1448</v>
      </c>
      <c r="U109" s="77" t="s">
        <v>1448</v>
      </c>
      <c r="V109" s="77" t="s">
        <v>1448</v>
      </c>
      <c r="W109" s="77" t="s">
        <v>1449</v>
      </c>
      <c r="X109" s="77" t="s">
        <v>1448</v>
      </c>
      <c r="Y109" s="77" t="s">
        <v>1448</v>
      </c>
      <c r="Z109" s="77" t="s">
        <v>1448</v>
      </c>
      <c r="AA109" s="77" t="s">
        <v>1448</v>
      </c>
      <c r="AB109" s="77" t="s">
        <v>1449</v>
      </c>
      <c r="AC109" s="77" t="s">
        <v>1448</v>
      </c>
      <c r="AD109" s="77" t="s">
        <v>1448</v>
      </c>
      <c r="AE109" s="77" t="s">
        <v>1448</v>
      </c>
      <c r="AF109" s="77" t="s">
        <v>1448</v>
      </c>
      <c r="AG109" s="77" t="s">
        <v>1448</v>
      </c>
      <c r="AH109" s="77" t="s">
        <v>1448</v>
      </c>
      <c r="AI109" s="77" t="s">
        <v>1448</v>
      </c>
      <c r="AJ109" s="77" t="s">
        <v>1448</v>
      </c>
      <c r="AK109" s="77" t="s">
        <v>1448</v>
      </c>
      <c r="AL109" s="77" t="s">
        <v>1448</v>
      </c>
      <c r="AM109" s="77" t="s">
        <v>1448</v>
      </c>
      <c r="AN109" s="77" t="s">
        <v>1448</v>
      </c>
      <c r="AO109" s="77" t="s">
        <v>1448</v>
      </c>
      <c r="AP109" s="77" t="s">
        <v>1448</v>
      </c>
      <c r="AQ109" s="77" t="s">
        <v>1448</v>
      </c>
      <c r="AR109" s="77" t="s">
        <v>1448</v>
      </c>
      <c r="AS109" s="77" t="s">
        <v>1448</v>
      </c>
      <c r="AT109" s="77" t="s">
        <v>1448</v>
      </c>
      <c r="AU109" s="77" t="s">
        <v>1448</v>
      </c>
      <c r="AV109" s="77" t="s">
        <v>1448</v>
      </c>
      <c r="AW109" s="77" t="s">
        <v>1448</v>
      </c>
      <c r="AX109" s="77" t="s">
        <v>1448</v>
      </c>
      <c r="AY109" s="77" t="s">
        <v>1448</v>
      </c>
      <c r="AZ109" s="77" t="s">
        <v>1448</v>
      </c>
      <c r="BA109" s="77" t="s">
        <v>1448</v>
      </c>
      <c r="BB109" s="77" t="s">
        <v>1448</v>
      </c>
      <c r="BC109" s="79" t="s">
        <v>2223</v>
      </c>
      <c r="BD109" s="79" t="s">
        <v>2137</v>
      </c>
      <c r="BE109" s="79" t="s">
        <v>2138</v>
      </c>
      <c r="BO109" s="77" t="b">
        <v>0</v>
      </c>
      <c r="BV109" s="77" t="str">
        <f>A109 &amp; "-" &amp; TEXT(B109, "jj/mm/aaaa") &amp; "-" &amp; COUNTIF($A$2:A223, A109)</f>
        <v>FK488HY-05/04/2024-1</v>
      </c>
      <c r="BX109" s="77" t="str">
        <v>DZ505LC</v>
      </c>
    </row>
    <row r="110" spans="1:76" x14ac:dyDescent="0.2">
      <c r="A110" s="77" t="s">
        <v>2139</v>
      </c>
      <c r="B110" s="88">
        <v>45390.463865740741</v>
      </c>
      <c r="C110" s="77" t="s">
        <v>2140</v>
      </c>
      <c r="D110" s="77" t="s">
        <v>959</v>
      </c>
      <c r="E110" s="77" t="b">
        <v>1</v>
      </c>
      <c r="F110" s="77" t="b">
        <v>1</v>
      </c>
      <c r="G110" s="77" t="b">
        <v>1</v>
      </c>
      <c r="H110" s="77" t="b">
        <v>1</v>
      </c>
      <c r="I110" s="77" t="s">
        <v>94</v>
      </c>
      <c r="J110" s="77" t="s">
        <v>1484</v>
      </c>
      <c r="K110" s="77" t="s">
        <v>378</v>
      </c>
      <c r="L110" s="77" t="s">
        <v>120</v>
      </c>
      <c r="M110" s="77" t="s">
        <v>379</v>
      </c>
      <c r="N110" s="86">
        <v>189845</v>
      </c>
      <c r="O110" s="83">
        <v>45846</v>
      </c>
      <c r="P110" s="77" t="s">
        <v>1448</v>
      </c>
      <c r="Q110" s="77" t="s">
        <v>1448</v>
      </c>
      <c r="R110" s="77" t="s">
        <v>1448</v>
      </c>
      <c r="S110" s="77" t="s">
        <v>1448</v>
      </c>
      <c r="T110" s="77" t="s">
        <v>1449</v>
      </c>
      <c r="U110" s="77" t="s">
        <v>1448</v>
      </c>
      <c r="W110" s="77" t="s">
        <v>1449</v>
      </c>
      <c r="X110" s="77" t="s">
        <v>1448</v>
      </c>
      <c r="Y110" s="77" t="s">
        <v>1448</v>
      </c>
      <c r="AA110" s="77" t="s">
        <v>1448</v>
      </c>
      <c r="AB110" s="77" t="s">
        <v>1449</v>
      </c>
      <c r="AC110" s="77" t="s">
        <v>1448</v>
      </c>
      <c r="AD110" s="77" t="s">
        <v>1448</v>
      </c>
      <c r="AE110" s="77" t="s">
        <v>1448</v>
      </c>
      <c r="AF110" s="77" t="s">
        <v>1448</v>
      </c>
      <c r="AG110" s="77" t="s">
        <v>1449</v>
      </c>
      <c r="AH110" s="77" t="s">
        <v>1448</v>
      </c>
      <c r="AI110" s="77" t="s">
        <v>1448</v>
      </c>
      <c r="AJ110" s="77" t="s">
        <v>1449</v>
      </c>
      <c r="AK110" s="77" t="s">
        <v>1448</v>
      </c>
      <c r="AL110" s="77" t="s">
        <v>1448</v>
      </c>
      <c r="AM110" s="77" t="s">
        <v>1448</v>
      </c>
      <c r="AN110" s="77" t="s">
        <v>1448</v>
      </c>
      <c r="AO110" s="77" t="s">
        <v>1448</v>
      </c>
      <c r="AP110" s="77" t="s">
        <v>1448</v>
      </c>
      <c r="AQ110" s="77" t="s">
        <v>1448</v>
      </c>
      <c r="AR110" s="77" t="s">
        <v>1448</v>
      </c>
      <c r="AS110" s="77" t="s">
        <v>1448</v>
      </c>
      <c r="AT110" s="77" t="s">
        <v>1448</v>
      </c>
      <c r="AU110" s="77" t="s">
        <v>1448</v>
      </c>
      <c r="AV110" s="77" t="s">
        <v>1448</v>
      </c>
      <c r="AW110" s="77" t="s">
        <v>1448</v>
      </c>
      <c r="AX110" s="77" t="s">
        <v>1448</v>
      </c>
      <c r="AY110" s="77" t="s">
        <v>1448</v>
      </c>
      <c r="AZ110" s="77" t="s">
        <v>1448</v>
      </c>
      <c r="BA110" s="77" t="s">
        <v>1448</v>
      </c>
      <c r="BB110" s="77" t="s">
        <v>1448</v>
      </c>
      <c r="BC110" s="79" t="s">
        <v>2143</v>
      </c>
      <c r="BD110" s="79" t="s">
        <v>2144</v>
      </c>
      <c r="BE110" s="79" t="s">
        <v>2145</v>
      </c>
      <c r="BF110" s="79" t="s">
        <v>2146</v>
      </c>
      <c r="BG110" s="79" t="s">
        <v>2147</v>
      </c>
      <c r="BH110" s="79" t="s">
        <v>2148</v>
      </c>
      <c r="BI110" s="79" t="s">
        <v>2149</v>
      </c>
      <c r="BO110" s="77" t="b">
        <v>0</v>
      </c>
      <c r="BV110" s="77" t="str">
        <f>A110 &amp; "-" &amp; TEXT(B110, "jj/mm/aaaa") &amp; "-" &amp; COUNTIF($A$2:A223, A110)</f>
        <v>AM775LV-08/04/2024-1</v>
      </c>
      <c r="BX110" s="77" t="str">
        <v>DZ663WA</v>
      </c>
    </row>
    <row r="111" spans="1:76" x14ac:dyDescent="0.2">
      <c r="A111" s="77" t="s">
        <v>2128</v>
      </c>
      <c r="B111" s="88">
        <v>45387.423310185186</v>
      </c>
      <c r="C111" s="77" t="s">
        <v>2129</v>
      </c>
      <c r="E111" s="77" t="b">
        <v>0</v>
      </c>
      <c r="F111" s="77" t="b">
        <v>0</v>
      </c>
      <c r="G111" s="77" t="b">
        <v>0</v>
      </c>
      <c r="H111" s="77" t="b">
        <v>0</v>
      </c>
      <c r="I111" s="77" t="s">
        <v>94</v>
      </c>
      <c r="J111" s="77" t="s">
        <v>1484</v>
      </c>
      <c r="K111" s="77" t="s">
        <v>77</v>
      </c>
      <c r="L111" s="77" t="s">
        <v>122</v>
      </c>
      <c r="M111" s="77" t="s">
        <v>2131</v>
      </c>
      <c r="Q111" s="77" t="s">
        <v>1448</v>
      </c>
      <c r="R111" s="77" t="s">
        <v>1448</v>
      </c>
      <c r="S111" s="77" t="s">
        <v>1448</v>
      </c>
      <c r="T111" s="77" t="s">
        <v>1448</v>
      </c>
      <c r="U111" s="77" t="s">
        <v>1448</v>
      </c>
      <c r="V111" s="77" t="s">
        <v>1449</v>
      </c>
      <c r="W111" s="77" t="s">
        <v>1449</v>
      </c>
      <c r="X111" s="77" t="s">
        <v>1449</v>
      </c>
      <c r="Y111" s="77" t="s">
        <v>1448</v>
      </c>
      <c r="Z111" s="77" t="s">
        <v>1448</v>
      </c>
      <c r="AA111" s="77" t="s">
        <v>1448</v>
      </c>
      <c r="AC111" s="77" t="s">
        <v>1448</v>
      </c>
      <c r="AD111" s="77" t="s">
        <v>1449</v>
      </c>
      <c r="AE111" s="77" t="s">
        <v>1448</v>
      </c>
      <c r="AF111" s="77" t="s">
        <v>1448</v>
      </c>
      <c r="AG111" s="77" t="s">
        <v>1448</v>
      </c>
      <c r="AH111" s="77" t="s">
        <v>1448</v>
      </c>
      <c r="AI111" s="77" t="s">
        <v>1448</v>
      </c>
      <c r="AJ111" s="77" t="s">
        <v>1448</v>
      </c>
      <c r="AK111" s="77" t="s">
        <v>1448</v>
      </c>
      <c r="AL111" s="77" t="s">
        <v>1449</v>
      </c>
      <c r="AM111" s="77" t="s">
        <v>1448</v>
      </c>
      <c r="AN111" s="77" t="s">
        <v>1449</v>
      </c>
      <c r="AO111" s="77" t="s">
        <v>1448</v>
      </c>
      <c r="AP111" s="77" t="s">
        <v>1448</v>
      </c>
      <c r="AQ111" s="77" t="s">
        <v>1448</v>
      </c>
      <c r="AR111" s="77" t="s">
        <v>1448</v>
      </c>
      <c r="AS111" s="77" t="s">
        <v>1448</v>
      </c>
      <c r="AT111" s="77" t="s">
        <v>1448</v>
      </c>
      <c r="AU111" s="77" t="s">
        <v>1448</v>
      </c>
      <c r="AV111" s="77" t="s">
        <v>1448</v>
      </c>
      <c r="AW111" s="77" t="s">
        <v>1448</v>
      </c>
      <c r="AX111" s="77" t="s">
        <v>1448</v>
      </c>
      <c r="AY111" s="77" t="s">
        <v>1448</v>
      </c>
      <c r="AZ111" s="77" t="s">
        <v>1449</v>
      </c>
      <c r="BA111" s="77" t="s">
        <v>1449</v>
      </c>
      <c r="BB111" s="77" t="s">
        <v>1449</v>
      </c>
      <c r="BC111" s="79" t="s">
        <v>1892</v>
      </c>
      <c r="BD111" s="79" t="s">
        <v>2150</v>
      </c>
      <c r="BE111" s="79" t="s">
        <v>2151</v>
      </c>
      <c r="BF111" s="79" t="s">
        <v>2152</v>
      </c>
      <c r="BG111" s="79" t="s">
        <v>2153</v>
      </c>
      <c r="BH111" s="79" t="s">
        <v>2154</v>
      </c>
      <c r="BI111" s="79" t="s">
        <v>2155</v>
      </c>
      <c r="BJ111" s="79" t="s">
        <v>2156</v>
      </c>
      <c r="BO111" s="77" t="b">
        <v>0</v>
      </c>
      <c r="BV111" s="77" t="str">
        <f>A111 &amp; "-" &amp; TEXT(B111, "jj/mm/aaaa") &amp; "-" &amp; COUNTIF($A$2:A223, A111)</f>
        <v>AE087WD-05/04/2024-2</v>
      </c>
      <c r="BX111" s="77" t="str">
        <v>DZ801JR</v>
      </c>
    </row>
    <row r="112" spans="1:76" x14ac:dyDescent="0.2">
      <c r="A112" s="77" t="s">
        <v>478</v>
      </c>
      <c r="B112" s="88">
        <v>45390.526423611111</v>
      </c>
      <c r="C112" s="77" t="s">
        <v>425</v>
      </c>
      <c r="D112" s="77" t="s">
        <v>959</v>
      </c>
      <c r="E112" s="77" t="b">
        <v>1</v>
      </c>
      <c r="F112" s="77" t="b">
        <v>1</v>
      </c>
      <c r="G112" s="77" t="b">
        <v>1</v>
      </c>
      <c r="H112" s="77" t="b">
        <v>1</v>
      </c>
      <c r="I112" s="77" t="s">
        <v>480</v>
      </c>
      <c r="K112" s="77" t="s">
        <v>479</v>
      </c>
      <c r="L112" s="77" t="s">
        <v>213</v>
      </c>
      <c r="M112" s="77" t="s">
        <v>481</v>
      </c>
      <c r="N112" s="86">
        <v>140344</v>
      </c>
      <c r="Q112" s="77" t="s">
        <v>1448</v>
      </c>
      <c r="R112" s="77" t="s">
        <v>1448</v>
      </c>
      <c r="S112" s="77" t="s">
        <v>1448</v>
      </c>
      <c r="T112" s="77" t="s">
        <v>1448</v>
      </c>
      <c r="U112" s="77" t="s">
        <v>1448</v>
      </c>
      <c r="V112" s="77" t="s">
        <v>1448</v>
      </c>
      <c r="W112" s="77" t="s">
        <v>1448</v>
      </c>
      <c r="X112" s="77" t="s">
        <v>1448</v>
      </c>
      <c r="Y112" s="77" t="s">
        <v>1448</v>
      </c>
      <c r="Z112" s="77" t="s">
        <v>1448</v>
      </c>
      <c r="AA112" s="77" t="s">
        <v>1448</v>
      </c>
      <c r="AB112" s="77" t="s">
        <v>1448</v>
      </c>
      <c r="AC112" s="77" t="s">
        <v>1448</v>
      </c>
      <c r="AD112" s="77" t="s">
        <v>1448</v>
      </c>
      <c r="AE112" s="77" t="s">
        <v>1448</v>
      </c>
      <c r="AF112" s="77" t="s">
        <v>1448</v>
      </c>
      <c r="AG112" s="77" t="s">
        <v>1448</v>
      </c>
      <c r="AH112" s="77" t="s">
        <v>1448</v>
      </c>
      <c r="AI112" s="77" t="s">
        <v>1448</v>
      </c>
      <c r="AJ112" s="77" t="s">
        <v>1448</v>
      </c>
      <c r="AK112" s="77" t="s">
        <v>1448</v>
      </c>
      <c r="AL112" s="77" t="s">
        <v>1448</v>
      </c>
      <c r="AM112" s="77" t="s">
        <v>1448</v>
      </c>
      <c r="AN112" s="77" t="s">
        <v>1448</v>
      </c>
      <c r="AO112" s="77" t="s">
        <v>1448</v>
      </c>
      <c r="AP112" s="77" t="s">
        <v>1448</v>
      </c>
      <c r="AQ112" s="77" t="s">
        <v>1448</v>
      </c>
      <c r="AR112" s="77" t="s">
        <v>1448</v>
      </c>
      <c r="AS112" s="77" t="s">
        <v>1448</v>
      </c>
      <c r="AT112" s="77" t="s">
        <v>1448</v>
      </c>
      <c r="AU112" s="77" t="s">
        <v>1448</v>
      </c>
      <c r="AV112" s="77" t="s">
        <v>1448</v>
      </c>
      <c r="AW112" s="77" t="s">
        <v>1448</v>
      </c>
      <c r="AX112" s="77" t="s">
        <v>1448</v>
      </c>
      <c r="AY112" s="77" t="s">
        <v>1448</v>
      </c>
      <c r="AZ112" s="77" t="s">
        <v>1448</v>
      </c>
      <c r="BA112" s="77" t="s">
        <v>1448</v>
      </c>
      <c r="BB112" s="77" t="s">
        <v>1448</v>
      </c>
      <c r="BC112" s="79" t="s">
        <v>2178</v>
      </c>
      <c r="BD112" s="79" t="s">
        <v>2179</v>
      </c>
      <c r="BO112" s="77" t="b">
        <v>0</v>
      </c>
      <c r="BV112" s="77" t="str">
        <f>A112 &amp; "-" &amp; TEXT(B112, "jj/mm/aaaa") &amp; "-" &amp; COUNTIF($A$2:A223, A112)</f>
        <v>DZ663WA-08/04/2024-1</v>
      </c>
      <c r="BX112" s="77" t="str">
        <v>DZ981PQ</v>
      </c>
    </row>
    <row r="113" spans="1:76" x14ac:dyDescent="0.2">
      <c r="A113" s="77" t="s">
        <v>2166</v>
      </c>
      <c r="B113" s="88">
        <v>45390.595405092594</v>
      </c>
      <c r="C113" s="77" t="s">
        <v>2167</v>
      </c>
      <c r="D113" s="77" t="s">
        <v>957</v>
      </c>
      <c r="E113" s="77" t="b">
        <v>1</v>
      </c>
      <c r="F113" s="77" t="b">
        <v>1</v>
      </c>
      <c r="G113" s="77" t="b">
        <v>0</v>
      </c>
      <c r="H113" s="77" t="b">
        <v>0</v>
      </c>
      <c r="I113" s="77" t="s">
        <v>78</v>
      </c>
      <c r="J113" s="77" t="s">
        <v>1869</v>
      </c>
      <c r="K113" s="77" t="s">
        <v>93</v>
      </c>
      <c r="L113" s="77" t="s">
        <v>232</v>
      </c>
      <c r="M113" s="77" t="s">
        <v>2169</v>
      </c>
      <c r="N113" s="86">
        <v>204019</v>
      </c>
      <c r="O113" s="77" t="s">
        <v>2187</v>
      </c>
      <c r="Q113" s="77" t="s">
        <v>1448</v>
      </c>
      <c r="R113" s="77" t="s">
        <v>1448</v>
      </c>
      <c r="S113" s="77" t="s">
        <v>1448</v>
      </c>
      <c r="T113" s="77" t="s">
        <v>1449</v>
      </c>
      <c r="U113" s="77" t="s">
        <v>1448</v>
      </c>
      <c r="V113" s="77" t="s">
        <v>1448</v>
      </c>
      <c r="W113" s="77" t="s">
        <v>1448</v>
      </c>
      <c r="X113" s="77" t="s">
        <v>1448</v>
      </c>
      <c r="Y113" s="77" t="s">
        <v>1448</v>
      </c>
      <c r="Z113" s="77" t="s">
        <v>1448</v>
      </c>
      <c r="AA113" s="77" t="s">
        <v>1448</v>
      </c>
      <c r="AB113" s="77" t="s">
        <v>1448</v>
      </c>
      <c r="AC113" s="77" t="s">
        <v>1448</v>
      </c>
      <c r="AD113" s="77" t="s">
        <v>1448</v>
      </c>
      <c r="AE113" s="77" t="s">
        <v>1448</v>
      </c>
      <c r="AF113" s="77" t="s">
        <v>1448</v>
      </c>
      <c r="AG113" s="77" t="s">
        <v>1448</v>
      </c>
      <c r="AH113" s="77" t="s">
        <v>1448</v>
      </c>
      <c r="AI113" s="77" t="s">
        <v>1448</v>
      </c>
      <c r="AJ113" s="77" t="s">
        <v>1448</v>
      </c>
      <c r="AK113" s="77" t="s">
        <v>1448</v>
      </c>
      <c r="AL113" s="77" t="s">
        <v>1448</v>
      </c>
      <c r="AM113" s="77" t="s">
        <v>1448</v>
      </c>
      <c r="AN113" s="77" t="s">
        <v>1448</v>
      </c>
      <c r="AO113" s="77" t="s">
        <v>1448</v>
      </c>
      <c r="AP113" s="77" t="s">
        <v>1448</v>
      </c>
      <c r="AQ113" s="77" t="s">
        <v>1448</v>
      </c>
      <c r="AR113" s="77" t="s">
        <v>1448</v>
      </c>
      <c r="AS113" s="77" t="s">
        <v>1448</v>
      </c>
      <c r="AT113" s="77" t="s">
        <v>1448</v>
      </c>
      <c r="AU113" s="77" t="s">
        <v>1448</v>
      </c>
      <c r="AV113" s="77" t="s">
        <v>1448</v>
      </c>
      <c r="AW113" s="77" t="s">
        <v>1448</v>
      </c>
      <c r="AX113" s="77" t="s">
        <v>1448</v>
      </c>
      <c r="AY113" s="77" t="s">
        <v>1448</v>
      </c>
      <c r="AZ113" s="77" t="s">
        <v>1448</v>
      </c>
      <c r="BA113" s="77" t="s">
        <v>1448</v>
      </c>
      <c r="BB113" s="77" t="s">
        <v>1449</v>
      </c>
      <c r="BC113" s="79" t="s">
        <v>2188</v>
      </c>
      <c r="BD113" s="79" t="s">
        <v>2189</v>
      </c>
      <c r="BE113" s="79" t="s">
        <v>2190</v>
      </c>
      <c r="BF113" s="79" t="s">
        <v>2191</v>
      </c>
      <c r="BO113" s="77" t="b">
        <v>0</v>
      </c>
      <c r="BV113" s="77" t="str">
        <f>A113 &amp; "-" &amp; TEXT(B113, "jj/mm/aaaa") &amp; "-" &amp; COUNTIF($A$2:A223, A113)</f>
        <v>AC181TF-08/04/2024-2</v>
      </c>
      <c r="BX113" s="77" t="str">
        <v>EB094YL</v>
      </c>
    </row>
    <row r="114" spans="1:76" x14ac:dyDescent="0.2">
      <c r="A114" s="77" t="s">
        <v>2166</v>
      </c>
      <c r="B114" s="88">
        <v>45390.595405092594</v>
      </c>
      <c r="C114" s="77" t="s">
        <v>2167</v>
      </c>
      <c r="D114" s="77" t="s">
        <v>957</v>
      </c>
      <c r="E114" s="77" t="b">
        <v>0</v>
      </c>
      <c r="F114" s="77" t="b">
        <v>0</v>
      </c>
      <c r="G114" s="77" t="b">
        <v>0</v>
      </c>
      <c r="H114" s="77" t="b">
        <v>0</v>
      </c>
      <c r="I114" s="77" t="s">
        <v>78</v>
      </c>
      <c r="J114" s="77" t="s">
        <v>1869</v>
      </c>
      <c r="K114" s="77" t="s">
        <v>93</v>
      </c>
      <c r="L114" s="77" t="s">
        <v>232</v>
      </c>
      <c r="M114" s="77" t="s">
        <v>2169</v>
      </c>
      <c r="N114" s="86">
        <v>204019</v>
      </c>
      <c r="BC114" s="79" t="s">
        <v>2171</v>
      </c>
      <c r="BD114" s="79" t="s">
        <v>2172</v>
      </c>
      <c r="BE114" s="79" t="s">
        <v>2173</v>
      </c>
      <c r="BO114" s="77" t="b">
        <v>0</v>
      </c>
      <c r="BV114" s="77" t="str">
        <f>A114 &amp; "-" &amp; TEXT(B114, "jj/mm/aaaa") &amp; "-" &amp; COUNTIF($A$2:A225, A114)</f>
        <v>AC181TF-08/04/2024-2</v>
      </c>
      <c r="BX114" s="77" t="str">
        <v>EC691LY</v>
      </c>
    </row>
    <row r="115" spans="1:76" x14ac:dyDescent="0.2">
      <c r="A115" s="77" t="s">
        <v>2174</v>
      </c>
      <c r="B115" s="88">
        <v>45390.607361111113</v>
      </c>
      <c r="C115" s="77" t="s">
        <v>2041</v>
      </c>
      <c r="D115" s="77" t="s">
        <v>959</v>
      </c>
      <c r="E115" s="77" t="b">
        <v>0</v>
      </c>
      <c r="F115" s="77" t="b">
        <v>0</v>
      </c>
      <c r="G115" s="77" t="b">
        <v>0</v>
      </c>
      <c r="H115" s="77" t="b">
        <v>0</v>
      </c>
      <c r="I115" s="77" t="s">
        <v>675</v>
      </c>
      <c r="J115" s="77" t="s">
        <v>1136</v>
      </c>
      <c r="K115" s="77" t="s">
        <v>2176</v>
      </c>
      <c r="L115" s="77" t="s">
        <v>128</v>
      </c>
      <c r="M115" s="77" t="s">
        <v>706</v>
      </c>
      <c r="N115" s="86">
        <v>274533</v>
      </c>
      <c r="BC115" s="79" t="s">
        <v>2177</v>
      </c>
      <c r="BO115" s="77" t="b">
        <v>0</v>
      </c>
      <c r="BV115" s="77" t="str">
        <f>A115 &amp; "-" &amp; TEXT(B115, "jj/mm/aaaa") &amp; "-" &amp; COUNTIF($A$2:A227, A115)</f>
        <v>AB046TF-08/04/2024-1</v>
      </c>
      <c r="BX115" s="77" t="str">
        <v>ED479NZ</v>
      </c>
    </row>
    <row r="116" spans="1:76" x14ac:dyDescent="0.2">
      <c r="A116" s="77" t="s">
        <v>2183</v>
      </c>
      <c r="B116" s="88">
        <v>45392.470185185186</v>
      </c>
      <c r="C116" s="77" t="s">
        <v>1472</v>
      </c>
      <c r="D116" s="77" t="s">
        <v>959</v>
      </c>
      <c r="E116" s="77" t="b">
        <v>1</v>
      </c>
      <c r="F116" s="77" t="b">
        <v>1</v>
      </c>
      <c r="G116" s="77" t="b">
        <v>1</v>
      </c>
      <c r="H116" s="77" t="b">
        <v>1</v>
      </c>
      <c r="I116" s="77" t="s">
        <v>1707</v>
      </c>
      <c r="J116" s="77" t="s">
        <v>2185</v>
      </c>
      <c r="K116" s="77" t="s">
        <v>114</v>
      </c>
      <c r="L116" s="77" t="s">
        <v>375</v>
      </c>
      <c r="M116" s="77" t="s">
        <v>2184</v>
      </c>
      <c r="N116" s="86">
        <v>155462</v>
      </c>
      <c r="O116" s="83">
        <v>46329</v>
      </c>
      <c r="P116" s="77" t="s">
        <v>1448</v>
      </c>
      <c r="Q116" s="77" t="s">
        <v>1448</v>
      </c>
      <c r="R116" s="77" t="s">
        <v>1448</v>
      </c>
      <c r="S116" s="77" t="s">
        <v>1448</v>
      </c>
      <c r="T116" s="77" t="s">
        <v>1448</v>
      </c>
      <c r="U116" s="77" t="s">
        <v>1448</v>
      </c>
      <c r="V116" s="77" t="s">
        <v>1449</v>
      </c>
      <c r="W116" s="77" t="s">
        <v>1450</v>
      </c>
      <c r="X116" s="77" t="s">
        <v>1448</v>
      </c>
      <c r="Y116" s="77" t="s">
        <v>1448</v>
      </c>
      <c r="Z116" s="77" t="s">
        <v>1448</v>
      </c>
      <c r="AA116" s="77" t="s">
        <v>1448</v>
      </c>
      <c r="AB116" s="77" t="s">
        <v>1448</v>
      </c>
      <c r="AC116" s="77" t="s">
        <v>1448</v>
      </c>
      <c r="AD116" s="77" t="s">
        <v>1448</v>
      </c>
      <c r="AE116" s="77" t="s">
        <v>1448</v>
      </c>
      <c r="AF116" s="77" t="s">
        <v>1448</v>
      </c>
      <c r="AG116" s="77" t="s">
        <v>1448</v>
      </c>
      <c r="AH116" s="77" t="s">
        <v>1448</v>
      </c>
      <c r="AI116" s="77" t="s">
        <v>1448</v>
      </c>
      <c r="AK116" s="77" t="s">
        <v>1448</v>
      </c>
      <c r="AL116" s="77" t="s">
        <v>1448</v>
      </c>
      <c r="AM116" s="77" t="s">
        <v>1448</v>
      </c>
      <c r="AN116" s="77" t="s">
        <v>1448</v>
      </c>
      <c r="AO116" s="77" t="s">
        <v>1448</v>
      </c>
      <c r="AP116" s="77" t="s">
        <v>1448</v>
      </c>
      <c r="AQ116" s="77" t="s">
        <v>1448</v>
      </c>
      <c r="AR116" s="77" t="s">
        <v>1448</v>
      </c>
      <c r="AS116" s="77" t="s">
        <v>1448</v>
      </c>
      <c r="AT116" s="77" t="s">
        <v>1448</v>
      </c>
      <c r="AU116" s="77" t="s">
        <v>1448</v>
      </c>
      <c r="AV116" s="77" t="s">
        <v>1448</v>
      </c>
      <c r="AW116" s="77" t="s">
        <v>1448</v>
      </c>
      <c r="AX116" s="77" t="s">
        <v>1448</v>
      </c>
      <c r="AY116" s="77" t="s">
        <v>1448</v>
      </c>
      <c r="AZ116" s="77" t="s">
        <v>1448</v>
      </c>
      <c r="BA116" s="77" t="s">
        <v>1448</v>
      </c>
      <c r="BB116" s="77" t="s">
        <v>1448</v>
      </c>
      <c r="BC116" s="79" t="s">
        <v>2194</v>
      </c>
      <c r="BD116" s="79" t="s">
        <v>2195</v>
      </c>
      <c r="BO116" s="77" t="b">
        <v>0</v>
      </c>
      <c r="BV116" s="77" t="str">
        <f>A116 &amp; "-" &amp; TEXT(B116, "jj/mm/aaaa") &amp; "-" &amp; COUNTIF($A$2:A229, A116)</f>
        <v>DZ981PQ-10/04/2024-2</v>
      </c>
      <c r="BX116" s="77" t="str">
        <v>EE935QX</v>
      </c>
    </row>
    <row r="117" spans="1:76" x14ac:dyDescent="0.2">
      <c r="A117" s="77" t="s">
        <v>2183</v>
      </c>
      <c r="B117" s="88">
        <v>45392.470185185186</v>
      </c>
      <c r="C117" s="77" t="s">
        <v>1472</v>
      </c>
      <c r="D117" s="77" t="s">
        <v>959</v>
      </c>
      <c r="E117" s="77" t="b">
        <v>1</v>
      </c>
      <c r="F117" s="77" t="b">
        <v>1</v>
      </c>
      <c r="G117" s="77" t="b">
        <v>1</v>
      </c>
      <c r="H117" s="77" t="b">
        <v>1</v>
      </c>
      <c r="I117" s="77" t="s">
        <v>1707</v>
      </c>
      <c r="J117" s="77" t="s">
        <v>2185</v>
      </c>
      <c r="K117" s="77" t="s">
        <v>114</v>
      </c>
      <c r="L117" s="77" t="s">
        <v>375</v>
      </c>
      <c r="M117" s="77" t="s">
        <v>2184</v>
      </c>
      <c r="N117" s="86">
        <v>155462</v>
      </c>
      <c r="O117" s="83">
        <v>46329</v>
      </c>
      <c r="P117" s="77" t="s">
        <v>1448</v>
      </c>
      <c r="Q117" s="77" t="s">
        <v>1448</v>
      </c>
      <c r="R117" s="77" t="s">
        <v>1449</v>
      </c>
      <c r="S117" s="77" t="s">
        <v>1448</v>
      </c>
      <c r="T117" s="77" t="s">
        <v>1448</v>
      </c>
      <c r="U117" s="77" t="s">
        <v>1448</v>
      </c>
      <c r="V117" s="77" t="s">
        <v>1449</v>
      </c>
      <c r="W117" s="77" t="s">
        <v>1448</v>
      </c>
      <c r="X117" s="77" t="s">
        <v>1448</v>
      </c>
      <c r="Y117" s="77" t="s">
        <v>1448</v>
      </c>
      <c r="Z117" s="77" t="s">
        <v>1448</v>
      </c>
      <c r="AA117" s="77" t="s">
        <v>1448</v>
      </c>
      <c r="AB117" s="77" t="s">
        <v>1448</v>
      </c>
      <c r="AC117" s="77" t="s">
        <v>1448</v>
      </c>
      <c r="AD117" s="77" t="s">
        <v>1448</v>
      </c>
      <c r="AE117" s="77" t="s">
        <v>1448</v>
      </c>
      <c r="AF117" s="77" t="s">
        <v>1448</v>
      </c>
      <c r="AG117" s="77" t="s">
        <v>1448</v>
      </c>
      <c r="AH117" s="77" t="s">
        <v>1448</v>
      </c>
      <c r="AI117" s="77" t="s">
        <v>1448</v>
      </c>
      <c r="AJ117" s="77" t="s">
        <v>1448</v>
      </c>
      <c r="AK117" s="77" t="s">
        <v>1448</v>
      </c>
      <c r="AL117" s="77" t="s">
        <v>1448</v>
      </c>
      <c r="AM117" s="77" t="s">
        <v>1448</v>
      </c>
      <c r="AN117" s="77" t="s">
        <v>1448</v>
      </c>
      <c r="AO117" s="77" t="s">
        <v>1448</v>
      </c>
      <c r="AP117" s="77" t="s">
        <v>1448</v>
      </c>
      <c r="AQ117" s="77" t="s">
        <v>1448</v>
      </c>
      <c r="AR117" s="77" t="s">
        <v>1448</v>
      </c>
      <c r="AS117" s="77" t="s">
        <v>1448</v>
      </c>
      <c r="AT117" s="77" t="s">
        <v>1448</v>
      </c>
      <c r="AU117" s="77" t="s">
        <v>1448</v>
      </c>
      <c r="AV117" s="77" t="s">
        <v>1448</v>
      </c>
      <c r="AW117" s="77" t="s">
        <v>1448</v>
      </c>
      <c r="AX117" s="77" t="s">
        <v>1448</v>
      </c>
      <c r="AY117" s="77" t="s">
        <v>1448</v>
      </c>
      <c r="AZ117" s="77" t="s">
        <v>1448</v>
      </c>
      <c r="BA117" s="77" t="s">
        <v>1448</v>
      </c>
      <c r="BB117" s="77" t="s">
        <v>1448</v>
      </c>
      <c r="BC117" s="79" t="s">
        <v>2192</v>
      </c>
      <c r="BD117" s="79" t="s">
        <v>2193</v>
      </c>
      <c r="BO117" s="77" t="b">
        <v>0</v>
      </c>
      <c r="BV117" s="77" t="str">
        <f>A117 &amp; "-" &amp; TEXT(B117, "jj/mm/aaaa") &amp; "-" &amp; COUNTIF($A$2:A231, A117)</f>
        <v>DZ981PQ-10/04/2024-2</v>
      </c>
      <c r="BX117" s="77" t="str">
        <v>EF710PT</v>
      </c>
    </row>
    <row r="118" spans="1:76" x14ac:dyDescent="0.2">
      <c r="A118" s="77" t="s">
        <v>2196</v>
      </c>
      <c r="B118" s="88">
        <v>45397.541747685187</v>
      </c>
      <c r="C118" s="77" t="s">
        <v>1013</v>
      </c>
      <c r="D118" s="77" t="s">
        <v>959</v>
      </c>
      <c r="E118" s="77" t="b">
        <v>1</v>
      </c>
      <c r="F118" s="77" t="b">
        <v>0</v>
      </c>
      <c r="G118" s="77" t="b">
        <v>1</v>
      </c>
      <c r="H118" s="77" t="b">
        <v>1</v>
      </c>
      <c r="I118" s="77" t="s">
        <v>477</v>
      </c>
      <c r="J118" s="77" t="s">
        <v>1081</v>
      </c>
      <c r="K118" s="77" t="s">
        <v>476</v>
      </c>
      <c r="L118" s="77" t="s">
        <v>437</v>
      </c>
      <c r="M118" s="77" t="s">
        <v>438</v>
      </c>
      <c r="N118" s="86">
        <v>120816</v>
      </c>
      <c r="O118" s="83">
        <v>46235</v>
      </c>
      <c r="Q118" s="77" t="s">
        <v>1448</v>
      </c>
      <c r="R118" s="77" t="s">
        <v>1449</v>
      </c>
      <c r="S118" s="77" t="s">
        <v>1448</v>
      </c>
      <c r="T118" s="77" t="s">
        <v>1448</v>
      </c>
      <c r="U118" s="77" t="s">
        <v>1448</v>
      </c>
      <c r="V118" s="77" t="s">
        <v>1449</v>
      </c>
      <c r="W118" s="77" t="s">
        <v>1448</v>
      </c>
      <c r="X118" s="77" t="s">
        <v>1448</v>
      </c>
      <c r="Y118" s="77" t="s">
        <v>1448</v>
      </c>
      <c r="Z118" s="77" t="s">
        <v>1448</v>
      </c>
      <c r="AA118" s="77" t="s">
        <v>1448</v>
      </c>
      <c r="AB118" s="77" t="s">
        <v>1448</v>
      </c>
      <c r="AC118" s="77" t="s">
        <v>1448</v>
      </c>
      <c r="AD118" s="77" t="s">
        <v>1448</v>
      </c>
      <c r="AE118" s="77" t="s">
        <v>1448</v>
      </c>
      <c r="AF118" s="77" t="s">
        <v>1448</v>
      </c>
      <c r="AG118" s="77" t="s">
        <v>1448</v>
      </c>
      <c r="AH118" s="77" t="s">
        <v>1448</v>
      </c>
      <c r="AI118" s="77" t="s">
        <v>1448</v>
      </c>
      <c r="AK118" s="77" t="s">
        <v>1448</v>
      </c>
      <c r="AL118" s="77" t="s">
        <v>1448</v>
      </c>
      <c r="AM118" s="77" t="s">
        <v>1448</v>
      </c>
      <c r="AN118" s="77" t="s">
        <v>1448</v>
      </c>
      <c r="AO118" s="77" t="s">
        <v>1448</v>
      </c>
      <c r="AP118" s="77" t="s">
        <v>1448</v>
      </c>
      <c r="AQ118" s="77" t="s">
        <v>1448</v>
      </c>
      <c r="AR118" s="77" t="s">
        <v>1448</v>
      </c>
      <c r="AS118" s="77" t="s">
        <v>1448</v>
      </c>
      <c r="AT118" s="77" t="s">
        <v>1448</v>
      </c>
      <c r="AU118" s="77" t="s">
        <v>1448</v>
      </c>
      <c r="AV118" s="77" t="s">
        <v>1448</v>
      </c>
      <c r="AW118" s="77" t="s">
        <v>1448</v>
      </c>
      <c r="AX118" s="77" t="s">
        <v>1448</v>
      </c>
      <c r="AY118" s="77" t="s">
        <v>1448</v>
      </c>
      <c r="AZ118" s="77" t="s">
        <v>1448</v>
      </c>
      <c r="BA118" s="77" t="s">
        <v>1448</v>
      </c>
      <c r="BB118" s="77" t="s">
        <v>1448</v>
      </c>
      <c r="BC118" s="79" t="s">
        <v>2198</v>
      </c>
      <c r="BD118" s="79" t="s">
        <v>1879</v>
      </c>
      <c r="BO118" s="77" t="b">
        <v>0</v>
      </c>
      <c r="BV118" s="77" t="str">
        <f>A118 &amp; "-" &amp; TEXT(B118, "jj/mm/aaaa") &amp; "-" &amp; COUNTIF($A$2:A233, A118)</f>
        <v>DX667ET-15/04/2024-1</v>
      </c>
      <c r="BX118" s="77" t="str">
        <v>EG544ZF</v>
      </c>
    </row>
    <row r="119" spans="1:76" x14ac:dyDescent="0.2">
      <c r="A119" s="77" t="s">
        <v>2199</v>
      </c>
      <c r="B119" s="88">
        <v>45397.699803240743</v>
      </c>
      <c r="C119" s="77" t="s">
        <v>2200</v>
      </c>
      <c r="D119" s="77" t="s">
        <v>959</v>
      </c>
      <c r="E119" s="77" t="b">
        <v>1</v>
      </c>
      <c r="F119" s="77" t="b">
        <v>1</v>
      </c>
      <c r="G119" s="77" t="b">
        <v>1</v>
      </c>
      <c r="H119" s="77" t="b">
        <v>0</v>
      </c>
      <c r="I119" s="77" t="s">
        <v>847</v>
      </c>
      <c r="J119" s="77" t="s">
        <v>503</v>
      </c>
      <c r="K119" s="77" t="s">
        <v>2205</v>
      </c>
      <c r="L119" s="77" t="s">
        <v>2201</v>
      </c>
      <c r="M119" s="77" t="s">
        <v>2202</v>
      </c>
      <c r="N119" s="86">
        <v>37038</v>
      </c>
      <c r="P119" s="77" t="s">
        <v>1448</v>
      </c>
      <c r="Q119" s="77" t="s">
        <v>1448</v>
      </c>
      <c r="R119" s="77" t="s">
        <v>1448</v>
      </c>
      <c r="S119" s="77" t="s">
        <v>1448</v>
      </c>
      <c r="T119" s="77" t="s">
        <v>1448</v>
      </c>
      <c r="U119" s="77" t="s">
        <v>1448</v>
      </c>
      <c r="V119" s="77" t="s">
        <v>1448</v>
      </c>
      <c r="W119" s="77" t="s">
        <v>1448</v>
      </c>
      <c r="X119" s="77" t="s">
        <v>1448</v>
      </c>
      <c r="Y119" s="77" t="s">
        <v>1448</v>
      </c>
      <c r="Z119" s="77" t="s">
        <v>1448</v>
      </c>
      <c r="AA119" s="77" t="s">
        <v>1448</v>
      </c>
      <c r="AB119" s="77" t="s">
        <v>1448</v>
      </c>
      <c r="AC119" s="77" t="s">
        <v>1448</v>
      </c>
      <c r="AD119" s="77" t="s">
        <v>1448</v>
      </c>
      <c r="AE119" s="77" t="s">
        <v>1448</v>
      </c>
      <c r="AF119" s="77" t="s">
        <v>1448</v>
      </c>
      <c r="AG119" s="77" t="s">
        <v>1448</v>
      </c>
      <c r="AH119" s="77" t="s">
        <v>1448</v>
      </c>
      <c r="AI119" s="77" t="s">
        <v>1448</v>
      </c>
      <c r="AJ119" s="77" t="s">
        <v>1448</v>
      </c>
      <c r="AK119" s="77" t="s">
        <v>1448</v>
      </c>
      <c r="AL119" s="77" t="s">
        <v>1448</v>
      </c>
      <c r="AM119" s="77" t="s">
        <v>1448</v>
      </c>
      <c r="AN119" s="77" t="s">
        <v>1448</v>
      </c>
      <c r="AO119" s="77" t="s">
        <v>1448</v>
      </c>
      <c r="AP119" s="77" t="s">
        <v>1448</v>
      </c>
      <c r="AQ119" s="77" t="s">
        <v>1448</v>
      </c>
      <c r="AR119" s="77" t="s">
        <v>1448</v>
      </c>
      <c r="AS119" s="77" t="s">
        <v>1448</v>
      </c>
      <c r="AT119" s="77" t="s">
        <v>1448</v>
      </c>
      <c r="AU119" s="77" t="s">
        <v>1448</v>
      </c>
      <c r="AV119" s="77" t="s">
        <v>1448</v>
      </c>
      <c r="AW119" s="77" t="s">
        <v>1448</v>
      </c>
      <c r="AX119" s="77" t="s">
        <v>1448</v>
      </c>
      <c r="AY119" s="77" t="s">
        <v>1448</v>
      </c>
      <c r="AZ119" s="77" t="s">
        <v>1448</v>
      </c>
      <c r="BA119" s="77" t="s">
        <v>1448</v>
      </c>
      <c r="BB119" s="77" t="s">
        <v>1448</v>
      </c>
      <c r="BC119" s="79" t="s">
        <v>2206</v>
      </c>
      <c r="BD119" s="79" t="s">
        <v>2207</v>
      </c>
      <c r="BE119" s="79" t="s">
        <v>2208</v>
      </c>
      <c r="BF119" s="79" t="s">
        <v>2209</v>
      </c>
      <c r="BO119" s="77" t="b">
        <v>0</v>
      </c>
      <c r="BV119" s="77" t="str">
        <f>A119 &amp; "-" &amp; TEXT(B119, "jj/mm/aaaa") &amp; "-" &amp; COUNTIF($A$2:A235, A119)</f>
        <v>EW020SD-15/04/2024-1</v>
      </c>
      <c r="BX119" s="77" t="str">
        <v>EH065NF</v>
      </c>
    </row>
    <row r="120" spans="1:76" x14ac:dyDescent="0.2">
      <c r="A120" s="77" t="s">
        <v>2210</v>
      </c>
      <c r="B120" s="88">
        <v>45398.402326388888</v>
      </c>
      <c r="C120" s="77" t="s">
        <v>2211</v>
      </c>
      <c r="D120" s="77" t="s">
        <v>957</v>
      </c>
      <c r="E120" s="77" t="b">
        <v>1</v>
      </c>
      <c r="F120" s="77" t="b">
        <v>1</v>
      </c>
      <c r="G120" s="77" t="b">
        <v>1</v>
      </c>
      <c r="H120" s="77" t="b">
        <v>1</v>
      </c>
      <c r="I120" s="77" t="s">
        <v>223</v>
      </c>
      <c r="J120" s="77" t="s">
        <v>1136</v>
      </c>
      <c r="K120" s="77" t="s">
        <v>2216</v>
      </c>
      <c r="L120" s="77" t="s">
        <v>128</v>
      </c>
      <c r="M120" s="77" t="s">
        <v>2213</v>
      </c>
      <c r="N120" s="86">
        <v>147833</v>
      </c>
      <c r="O120" s="77" t="s">
        <v>2224</v>
      </c>
      <c r="P120" s="77" t="s">
        <v>1448</v>
      </c>
      <c r="Q120" s="77" t="s">
        <v>1448</v>
      </c>
      <c r="R120" s="77" t="s">
        <v>1448</v>
      </c>
      <c r="S120" s="77" t="s">
        <v>1448</v>
      </c>
      <c r="T120" s="77" t="s">
        <v>1448</v>
      </c>
      <c r="U120" s="77" t="s">
        <v>1448</v>
      </c>
      <c r="V120" s="77" t="s">
        <v>1448</v>
      </c>
      <c r="W120" s="77" t="s">
        <v>1448</v>
      </c>
      <c r="X120" s="77" t="s">
        <v>1448</v>
      </c>
      <c r="Y120" s="77" t="s">
        <v>1448</v>
      </c>
      <c r="Z120" s="77" t="s">
        <v>1448</v>
      </c>
      <c r="AA120" s="77" t="s">
        <v>1448</v>
      </c>
      <c r="AB120" s="77" t="s">
        <v>1448</v>
      </c>
      <c r="AC120" s="77" t="s">
        <v>1448</v>
      </c>
      <c r="AD120" s="77" t="s">
        <v>1448</v>
      </c>
      <c r="AE120" s="77" t="s">
        <v>1448</v>
      </c>
      <c r="AF120" s="77" t="s">
        <v>1448</v>
      </c>
      <c r="AG120" s="77" t="s">
        <v>1448</v>
      </c>
      <c r="AH120" s="77" t="s">
        <v>1448</v>
      </c>
      <c r="AI120" s="77" t="s">
        <v>1448</v>
      </c>
      <c r="AJ120" s="77" t="s">
        <v>1448</v>
      </c>
      <c r="AK120" s="77" t="s">
        <v>1448</v>
      </c>
      <c r="AL120" s="77" t="s">
        <v>1448</v>
      </c>
      <c r="AM120" s="77" t="s">
        <v>1448</v>
      </c>
      <c r="AN120" s="77" t="s">
        <v>1448</v>
      </c>
      <c r="AO120" s="77" t="s">
        <v>1448</v>
      </c>
      <c r="AP120" s="77" t="s">
        <v>1448</v>
      </c>
      <c r="AQ120" s="77" t="s">
        <v>1448</v>
      </c>
      <c r="AR120" s="77" t="s">
        <v>1448</v>
      </c>
      <c r="AS120" s="77" t="s">
        <v>1448</v>
      </c>
      <c r="AT120" s="77" t="s">
        <v>1448</v>
      </c>
      <c r="AU120" s="77" t="s">
        <v>1448</v>
      </c>
      <c r="AV120" s="77" t="s">
        <v>1448</v>
      </c>
      <c r="AW120" s="77" t="s">
        <v>1448</v>
      </c>
      <c r="AX120" s="77" t="s">
        <v>1448</v>
      </c>
      <c r="AY120" s="77" t="s">
        <v>1448</v>
      </c>
      <c r="AZ120" s="77" t="s">
        <v>1448</v>
      </c>
      <c r="BA120" s="77" t="s">
        <v>1448</v>
      </c>
      <c r="BB120" s="77" t="s">
        <v>1448</v>
      </c>
      <c r="BD120" s="79" t="s">
        <v>2245</v>
      </c>
      <c r="BE120" s="79" t="s">
        <v>2244</v>
      </c>
      <c r="BO120" s="77" t="b">
        <v>0</v>
      </c>
      <c r="BV120" s="77" t="str">
        <f>A120 &amp; "-" &amp; TEXT(B120, "jj/mm/aaaa") &amp; "-" &amp; COUNTIF($A$2:A237, A120)</f>
        <v>DC905ME-16/04/2024-1</v>
      </c>
      <c r="BX120" s="77" t="str">
        <v>EH182GP</v>
      </c>
    </row>
    <row r="121" spans="1:76" x14ac:dyDescent="0.2">
      <c r="A121" s="77" t="s">
        <v>792</v>
      </c>
      <c r="B121" s="88">
        <v>45398.43409722222</v>
      </c>
      <c r="C121" s="77" t="s">
        <v>1051</v>
      </c>
      <c r="E121" s="77" t="b">
        <v>0</v>
      </c>
      <c r="F121" s="77" t="b">
        <v>0</v>
      </c>
      <c r="G121" s="77" t="b">
        <v>0</v>
      </c>
      <c r="H121" s="77" t="b">
        <v>0</v>
      </c>
      <c r="I121" s="77" t="s">
        <v>94</v>
      </c>
      <c r="J121" s="77">
        <v>28</v>
      </c>
      <c r="K121" s="77" t="s">
        <v>472</v>
      </c>
      <c r="L121" s="77" t="s">
        <v>139</v>
      </c>
      <c r="M121" s="77" t="s">
        <v>1403</v>
      </c>
      <c r="BC121" s="79" t="s">
        <v>2217</v>
      </c>
      <c r="BO121" s="77" t="b">
        <v>0</v>
      </c>
      <c r="BV121" s="77" t="str">
        <f>A121 &amp; "-" &amp; TEXT(B121, "jj/mm/aaaa") &amp; "-" &amp; COUNTIF($A$2:A239, A121)</f>
        <v>EZ813KB-16/04/2024-1</v>
      </c>
      <c r="BX121" s="77" t="str">
        <v>EH981DM</v>
      </c>
    </row>
    <row r="122" spans="1:76" x14ac:dyDescent="0.2">
      <c r="A122" s="77" t="s">
        <v>562</v>
      </c>
      <c r="B122" s="88">
        <v>45398.561493055553</v>
      </c>
      <c r="C122" s="77" t="s">
        <v>425</v>
      </c>
      <c r="D122" s="77" t="s">
        <v>959</v>
      </c>
      <c r="E122" s="77" t="b">
        <v>0</v>
      </c>
      <c r="F122" s="77" t="b">
        <v>0</v>
      </c>
      <c r="G122" s="77" t="b">
        <v>0</v>
      </c>
      <c r="H122" s="77" t="b">
        <v>0</v>
      </c>
      <c r="I122" s="77" t="s">
        <v>78</v>
      </c>
      <c r="J122" s="77">
        <v>20</v>
      </c>
      <c r="K122" s="77" t="s">
        <v>341</v>
      </c>
      <c r="L122" s="77" t="s">
        <v>128</v>
      </c>
      <c r="M122" s="77" t="s">
        <v>342</v>
      </c>
      <c r="BC122" s="79" t="s">
        <v>2225</v>
      </c>
      <c r="BD122" s="79" t="s">
        <v>2226</v>
      </c>
      <c r="BE122" s="79" t="s">
        <v>1623</v>
      </c>
      <c r="BF122" s="79" t="s">
        <v>2227</v>
      </c>
      <c r="BG122" s="79" t="s">
        <v>2228</v>
      </c>
      <c r="BO122" s="77" t="b">
        <v>0</v>
      </c>
      <c r="BV122" s="77" t="str">
        <f>A122 &amp; "-" &amp; TEXT(B122, "jj/mm/aaaa") &amp; "-" &amp; COUNTIF($A$2:A241, A122)</f>
        <v>EN600NS-16/04/2024-1</v>
      </c>
      <c r="BX122" s="77" t="str">
        <v>EJ857TN</v>
      </c>
    </row>
    <row r="123" spans="1:76" x14ac:dyDescent="0.2">
      <c r="A123" s="77" t="s">
        <v>2229</v>
      </c>
      <c r="B123" s="88">
        <v>45398.573981481481</v>
      </c>
      <c r="C123" s="77" t="s">
        <v>2230</v>
      </c>
      <c r="D123" s="77" t="s">
        <v>957</v>
      </c>
      <c r="E123" s="77" t="b">
        <v>0</v>
      </c>
      <c r="F123" s="77" t="b">
        <v>0</v>
      </c>
      <c r="G123" s="77" t="b">
        <v>0</v>
      </c>
      <c r="H123" s="77" t="b">
        <v>0</v>
      </c>
      <c r="I123" s="77" t="s">
        <v>238</v>
      </c>
      <c r="J123" s="77" t="s">
        <v>1869</v>
      </c>
      <c r="K123" s="77" t="s">
        <v>256</v>
      </c>
      <c r="L123" s="77" t="s">
        <v>139</v>
      </c>
      <c r="M123" s="77" t="s">
        <v>2232</v>
      </c>
      <c r="BC123" s="79" t="s">
        <v>2236</v>
      </c>
      <c r="BD123" s="79" t="s">
        <v>2235</v>
      </c>
      <c r="BE123" s="79" t="s">
        <v>2237</v>
      </c>
      <c r="BO123" s="77" t="b">
        <v>0</v>
      </c>
      <c r="BV123" s="77" t="str">
        <f>A123 &amp; "-" &amp; TEXT(B123, "jj/mm/aaaa") &amp; "-" &amp; COUNTIF($A$2:A243, A123)</f>
        <v>FP687GP-16/04/2024-1</v>
      </c>
      <c r="BX123" s="77" t="str">
        <v>EK158WL</v>
      </c>
    </row>
    <row r="124" spans="1:76" x14ac:dyDescent="0.2">
      <c r="A124" s="77" t="s">
        <v>1995</v>
      </c>
      <c r="B124" s="88">
        <v>45399.495381944442</v>
      </c>
      <c r="C124" s="77" t="s">
        <v>1013</v>
      </c>
      <c r="D124" s="77" t="s">
        <v>957</v>
      </c>
      <c r="E124" s="77" t="b">
        <v>0</v>
      </c>
      <c r="F124" s="77" t="b">
        <v>0</v>
      </c>
      <c r="G124" s="77" t="b">
        <v>0</v>
      </c>
      <c r="H124" s="77" t="b">
        <v>0</v>
      </c>
      <c r="I124" s="77" t="s">
        <v>2000</v>
      </c>
      <c r="J124" s="77" t="s">
        <v>503</v>
      </c>
      <c r="K124" s="77" t="s">
        <v>1999</v>
      </c>
      <c r="L124" s="77" t="s">
        <v>399</v>
      </c>
      <c r="M124" s="77" t="s">
        <v>1996</v>
      </c>
      <c r="N124" s="86">
        <v>122492</v>
      </c>
      <c r="BC124" s="79" t="s">
        <v>2238</v>
      </c>
      <c r="BO124" s="77" t="b">
        <v>0</v>
      </c>
      <c r="BV124" s="77" t="str">
        <f>A124 &amp; "-" &amp; TEXT(B124, "jj/mm/aaaa") &amp; "-" &amp; COUNTIF($A$2:A245, A124)</f>
        <v>DL420KS-17/04/2024-2</v>
      </c>
      <c r="BX124" s="77" t="str">
        <v>EK853BZ</v>
      </c>
    </row>
    <row r="125" spans="1:76" x14ac:dyDescent="0.2">
      <c r="A125" s="77" t="s">
        <v>2239</v>
      </c>
      <c r="B125" s="88">
        <v>45399.674745370372</v>
      </c>
      <c r="C125" s="77" t="s">
        <v>1013</v>
      </c>
      <c r="D125" s="77" t="s">
        <v>959</v>
      </c>
      <c r="E125" s="77" t="b">
        <v>1</v>
      </c>
      <c r="F125" s="77" t="b">
        <v>1</v>
      </c>
      <c r="G125" s="77" t="b">
        <v>1</v>
      </c>
      <c r="H125" s="77" t="b">
        <v>1</v>
      </c>
      <c r="I125" s="77" t="s">
        <v>238</v>
      </c>
      <c r="J125" s="77" t="s">
        <v>1104</v>
      </c>
      <c r="K125" s="77" t="s">
        <v>256</v>
      </c>
      <c r="L125" s="77" t="s">
        <v>139</v>
      </c>
      <c r="M125" s="77" t="s">
        <v>2240</v>
      </c>
      <c r="N125" s="86">
        <v>83132</v>
      </c>
      <c r="O125" s="83">
        <v>45962</v>
      </c>
      <c r="Q125" s="77" t="s">
        <v>1448</v>
      </c>
      <c r="R125" s="77" t="s">
        <v>1448</v>
      </c>
      <c r="S125" s="77" t="s">
        <v>1448</v>
      </c>
      <c r="T125" s="77" t="s">
        <v>1448</v>
      </c>
      <c r="U125" s="77" t="s">
        <v>1448</v>
      </c>
      <c r="V125" s="77" t="s">
        <v>1448</v>
      </c>
      <c r="W125" s="77" t="s">
        <v>1448</v>
      </c>
      <c r="X125" s="77" t="s">
        <v>1448</v>
      </c>
      <c r="Y125" s="77" t="s">
        <v>1448</v>
      </c>
      <c r="Z125" s="77" t="s">
        <v>1448</v>
      </c>
      <c r="AA125" s="77" t="s">
        <v>1448</v>
      </c>
      <c r="AB125" s="77" t="s">
        <v>1448</v>
      </c>
      <c r="AC125" s="77" t="s">
        <v>1448</v>
      </c>
      <c r="AD125" s="77" t="s">
        <v>1448</v>
      </c>
      <c r="AE125" s="77" t="s">
        <v>1448</v>
      </c>
      <c r="AF125" s="77" t="s">
        <v>1448</v>
      </c>
      <c r="AG125" s="77" t="s">
        <v>1448</v>
      </c>
      <c r="AH125" s="77" t="s">
        <v>1449</v>
      </c>
      <c r="AI125" s="77" t="s">
        <v>1448</v>
      </c>
      <c r="AK125" s="77" t="s">
        <v>1448</v>
      </c>
      <c r="AL125" s="77" t="s">
        <v>1448</v>
      </c>
      <c r="AM125" s="77" t="s">
        <v>1448</v>
      </c>
      <c r="AN125" s="77" t="s">
        <v>1448</v>
      </c>
      <c r="AO125" s="77" t="s">
        <v>1448</v>
      </c>
      <c r="AP125" s="77" t="s">
        <v>1448</v>
      </c>
      <c r="AQ125" s="77" t="s">
        <v>1448</v>
      </c>
      <c r="AR125" s="77" t="s">
        <v>1448</v>
      </c>
      <c r="AS125" s="77" t="s">
        <v>1448</v>
      </c>
      <c r="AT125" s="77" t="s">
        <v>1448</v>
      </c>
      <c r="AU125" s="77" t="s">
        <v>1448</v>
      </c>
      <c r="AV125" s="77" t="s">
        <v>1448</v>
      </c>
      <c r="AW125" s="77" t="s">
        <v>1448</v>
      </c>
      <c r="AX125" s="77" t="s">
        <v>1448</v>
      </c>
      <c r="AY125" s="77" t="s">
        <v>1448</v>
      </c>
      <c r="AZ125" s="77" t="s">
        <v>1448</v>
      </c>
      <c r="BA125" s="77" t="s">
        <v>1448</v>
      </c>
      <c r="BB125" s="77" t="s">
        <v>1448</v>
      </c>
      <c r="BD125" s="79" t="s">
        <v>2257</v>
      </c>
      <c r="BE125" s="79" t="s">
        <v>2258</v>
      </c>
      <c r="BO125" s="77" t="b">
        <v>0</v>
      </c>
      <c r="BV125" s="77" t="str">
        <f>A125 &amp; "-" &amp; TEXT(B125, "jj/mm/aaaa") &amp; "-" &amp; COUNTIF($A$2:A247, A125)</f>
        <v>FL303VF-17/04/2024-1</v>
      </c>
      <c r="BX125" s="77" t="str">
        <v>EL297BE</v>
      </c>
    </row>
    <row r="126" spans="1:76" x14ac:dyDescent="0.2">
      <c r="A126" s="77" t="s">
        <v>2242</v>
      </c>
      <c r="B126" s="88">
        <v>45400.382835648146</v>
      </c>
      <c r="D126" s="77" t="s">
        <v>959</v>
      </c>
      <c r="E126" s="77" t="b">
        <v>1</v>
      </c>
      <c r="F126" s="77" t="b">
        <v>0</v>
      </c>
      <c r="G126" s="77" t="b">
        <v>0</v>
      </c>
      <c r="H126" s="77" t="b">
        <v>0</v>
      </c>
      <c r="N126" s="86">
        <v>55876</v>
      </c>
      <c r="BO126" s="77" t="b">
        <v>0</v>
      </c>
      <c r="BV126" s="77" t="str">
        <f>A126 &amp; "-" &amp; TEXT(B126, "jj/mm/aaaa") &amp; "-" &amp; COUNTIF($A$2:A249, A126)</f>
        <v>DX460VY-18/04/2024-1</v>
      </c>
      <c r="BX126" s="77" t="str">
        <v>EL802XV</v>
      </c>
    </row>
    <row r="127" spans="1:76" x14ac:dyDescent="0.2">
      <c r="A127" s="77" t="s">
        <v>2246</v>
      </c>
      <c r="B127" s="88">
        <v>45400.678171296298</v>
      </c>
      <c r="C127" s="77" t="s">
        <v>2247</v>
      </c>
      <c r="D127" s="77" t="s">
        <v>957</v>
      </c>
      <c r="E127" s="77" t="b">
        <v>0</v>
      </c>
      <c r="F127" s="77" t="b">
        <v>0</v>
      </c>
      <c r="G127" s="77" t="b">
        <v>0</v>
      </c>
      <c r="H127" s="77" t="b">
        <v>0</v>
      </c>
      <c r="I127" s="77" t="s">
        <v>302</v>
      </c>
      <c r="J127" s="77" t="s">
        <v>1555</v>
      </c>
      <c r="K127" s="77" t="s">
        <v>2252</v>
      </c>
      <c r="L127" s="77" t="s">
        <v>1788</v>
      </c>
      <c r="M127" s="77" t="s">
        <v>2248</v>
      </c>
      <c r="N127" s="86">
        <v>182061</v>
      </c>
      <c r="Q127" s="77" t="s">
        <v>1448</v>
      </c>
      <c r="R127" s="77" t="s">
        <v>1449</v>
      </c>
      <c r="S127" s="77" t="s">
        <v>1448</v>
      </c>
      <c r="T127" s="77" t="s">
        <v>1448</v>
      </c>
      <c r="U127" s="77" t="s">
        <v>1448</v>
      </c>
      <c r="V127" s="77" t="s">
        <v>1449</v>
      </c>
      <c r="W127" s="77" t="s">
        <v>1448</v>
      </c>
      <c r="X127" s="77" t="s">
        <v>1448</v>
      </c>
      <c r="Y127" s="77" t="s">
        <v>1448</v>
      </c>
      <c r="Z127" s="77" t="s">
        <v>1448</v>
      </c>
      <c r="AA127" s="77" t="s">
        <v>1448</v>
      </c>
      <c r="AB127" s="77" t="s">
        <v>1448</v>
      </c>
      <c r="AC127" s="77" t="s">
        <v>1448</v>
      </c>
      <c r="AD127" s="77" t="s">
        <v>1448</v>
      </c>
      <c r="AE127" s="77" t="s">
        <v>1448</v>
      </c>
      <c r="AF127" s="77" t="s">
        <v>1448</v>
      </c>
      <c r="AG127" s="77" t="s">
        <v>1448</v>
      </c>
      <c r="AH127" s="77" t="s">
        <v>1448</v>
      </c>
      <c r="AI127" s="77" t="s">
        <v>1448</v>
      </c>
      <c r="AJ127" s="77" t="s">
        <v>1448</v>
      </c>
      <c r="AK127" s="77" t="s">
        <v>1448</v>
      </c>
      <c r="AL127" s="77" t="s">
        <v>1448</v>
      </c>
      <c r="AM127" s="77" t="s">
        <v>1448</v>
      </c>
      <c r="AN127" s="77" t="s">
        <v>1448</v>
      </c>
      <c r="AO127" s="77" t="s">
        <v>1448</v>
      </c>
      <c r="AP127" s="77" t="s">
        <v>1449</v>
      </c>
      <c r="AQ127" s="77" t="s">
        <v>1448</v>
      </c>
      <c r="AR127" s="77" t="s">
        <v>1448</v>
      </c>
      <c r="AS127" s="77" t="s">
        <v>1448</v>
      </c>
      <c r="AT127" s="77" t="s">
        <v>1448</v>
      </c>
      <c r="AU127" s="77" t="s">
        <v>1448</v>
      </c>
      <c r="AV127" s="77" t="s">
        <v>1448</v>
      </c>
      <c r="AW127" s="77" t="s">
        <v>1448</v>
      </c>
      <c r="AX127" s="77" t="s">
        <v>1448</v>
      </c>
      <c r="AY127" s="77" t="s">
        <v>1448</v>
      </c>
      <c r="AZ127" s="77" t="s">
        <v>1448</v>
      </c>
      <c r="BA127" s="77" t="s">
        <v>1448</v>
      </c>
      <c r="BB127" s="77" t="s">
        <v>1448</v>
      </c>
      <c r="BC127" s="79" t="s">
        <v>2320</v>
      </c>
      <c r="BD127" s="79" t="s">
        <v>2319</v>
      </c>
      <c r="BO127" s="77" t="b">
        <v>0</v>
      </c>
      <c r="BV127" s="77" t="str">
        <f>A127 &amp; "-" &amp; TEXT(B127, "jj/mm/aaaa") &amp; "-" &amp; COUNTIF($A$2:A251, A127)</f>
        <v>GR306BV-18/04/2024-1</v>
      </c>
      <c r="BX127" s="77" t="str">
        <v>EM464PG</v>
      </c>
    </row>
    <row r="128" spans="1:76" x14ac:dyDescent="0.2">
      <c r="A128" s="77" t="s">
        <v>2253</v>
      </c>
      <c r="B128" s="88">
        <v>45401.521527777775</v>
      </c>
      <c r="C128" s="77" t="s">
        <v>2254</v>
      </c>
      <c r="D128" s="77" t="s">
        <v>957</v>
      </c>
      <c r="E128" s="77" t="b">
        <v>0</v>
      </c>
      <c r="F128" s="77" t="b">
        <v>0</v>
      </c>
      <c r="G128" s="77" t="b">
        <v>0</v>
      </c>
      <c r="H128" s="77" t="b">
        <v>0</v>
      </c>
      <c r="I128" s="77" t="s">
        <v>238</v>
      </c>
      <c r="J128" s="77" t="s">
        <v>1706</v>
      </c>
      <c r="K128" s="77" t="s">
        <v>364</v>
      </c>
      <c r="L128" s="77" t="s">
        <v>1685</v>
      </c>
      <c r="M128" s="77" t="s">
        <v>2255</v>
      </c>
      <c r="N128" s="86">
        <v>129318</v>
      </c>
      <c r="O128" s="83">
        <v>45786</v>
      </c>
      <c r="Q128" s="77" t="s">
        <v>1448</v>
      </c>
      <c r="R128" s="77" t="s">
        <v>1448</v>
      </c>
      <c r="S128" s="77" t="s">
        <v>1448</v>
      </c>
      <c r="T128" s="77" t="s">
        <v>1448</v>
      </c>
      <c r="U128" s="77" t="s">
        <v>1448</v>
      </c>
      <c r="V128" s="77" t="s">
        <v>1448</v>
      </c>
      <c r="W128" s="77" t="s">
        <v>1448</v>
      </c>
      <c r="X128" s="77" t="s">
        <v>1448</v>
      </c>
      <c r="Y128" s="77" t="s">
        <v>1448</v>
      </c>
      <c r="Z128" s="77" t="s">
        <v>1448</v>
      </c>
      <c r="AA128" s="77" t="s">
        <v>1448</v>
      </c>
      <c r="AB128" s="77" t="s">
        <v>1448</v>
      </c>
      <c r="AC128" s="77" t="s">
        <v>1448</v>
      </c>
      <c r="AD128" s="77" t="s">
        <v>1448</v>
      </c>
      <c r="AE128" s="77" t="s">
        <v>1448</v>
      </c>
      <c r="AF128" s="77" t="s">
        <v>1448</v>
      </c>
      <c r="AG128" s="77" t="s">
        <v>1448</v>
      </c>
      <c r="AH128" s="77" t="s">
        <v>1448</v>
      </c>
      <c r="AI128" s="77" t="s">
        <v>1448</v>
      </c>
      <c r="AJ128" s="77" t="s">
        <v>1448</v>
      </c>
      <c r="AK128" s="77" t="s">
        <v>1448</v>
      </c>
      <c r="AL128" s="77" t="s">
        <v>1448</v>
      </c>
      <c r="AM128" s="77" t="s">
        <v>1449</v>
      </c>
      <c r="AN128" s="77" t="s">
        <v>1448</v>
      </c>
      <c r="AO128" s="77" t="s">
        <v>1448</v>
      </c>
      <c r="AP128" s="77" t="s">
        <v>1448</v>
      </c>
      <c r="AQ128" s="77" t="s">
        <v>1448</v>
      </c>
      <c r="AR128" s="77" t="s">
        <v>1448</v>
      </c>
      <c r="AS128" s="77" t="s">
        <v>1449</v>
      </c>
      <c r="AT128" s="77" t="s">
        <v>1448</v>
      </c>
      <c r="AU128" s="77" t="s">
        <v>1448</v>
      </c>
      <c r="AV128" s="77" t="s">
        <v>1448</v>
      </c>
      <c r="AW128" s="77" t="s">
        <v>1448</v>
      </c>
      <c r="AX128" s="77" t="s">
        <v>1448</v>
      </c>
      <c r="AY128" s="77" t="s">
        <v>1448</v>
      </c>
      <c r="AZ128" s="77" t="s">
        <v>1448</v>
      </c>
      <c r="BA128" s="77" t="s">
        <v>1448</v>
      </c>
      <c r="BB128" s="77" t="s">
        <v>1448</v>
      </c>
      <c r="BD128" s="79" t="s">
        <v>2276</v>
      </c>
      <c r="BE128" s="79" t="s">
        <v>2277</v>
      </c>
      <c r="BO128" s="77" t="b">
        <v>0</v>
      </c>
      <c r="BV128" s="77" t="str">
        <f>A128 &amp; "-" &amp; TEXT(B128, "jj/mm/aaaa") &amp; "-" &amp; COUNTIF($A$2:A253, A128)</f>
        <v>EY452ZP-19/04/2024-1</v>
      </c>
      <c r="BX128" s="77" t="str">
        <v>EN282TF</v>
      </c>
    </row>
    <row r="129" spans="1:76" x14ac:dyDescent="0.2">
      <c r="A129" s="77" t="s">
        <v>803</v>
      </c>
      <c r="B129" s="88">
        <v>45405.385706018518</v>
      </c>
      <c r="C129" s="77" t="s">
        <v>1008</v>
      </c>
      <c r="D129" s="77" t="s">
        <v>959</v>
      </c>
      <c r="E129" s="77" t="b">
        <v>0</v>
      </c>
      <c r="F129" s="77" t="b">
        <v>0</v>
      </c>
      <c r="G129" s="77" t="b">
        <v>0</v>
      </c>
      <c r="H129" s="77" t="b">
        <v>0</v>
      </c>
      <c r="I129" s="77" t="s">
        <v>78</v>
      </c>
      <c r="J129" s="77">
        <v>20</v>
      </c>
      <c r="K129" s="77" t="s">
        <v>204</v>
      </c>
      <c r="L129" s="77" t="s">
        <v>128</v>
      </c>
      <c r="M129" s="77" t="s">
        <v>1358</v>
      </c>
      <c r="N129" s="86">
        <v>139681</v>
      </c>
      <c r="BD129" s="79" t="s">
        <v>2259</v>
      </c>
      <c r="BO129" s="77" t="b">
        <v>0</v>
      </c>
      <c r="BV129" s="77" t="str">
        <f>A129 &amp; "-" &amp; TEXT(B129, "jj/mm/aaaa") &amp; "-" &amp; COUNTIF($A$2:A255, A129)</f>
        <v>DB104TQ-23/04/2024-1</v>
      </c>
      <c r="BX129" s="77" t="str">
        <v>EN600NS</v>
      </c>
    </row>
    <row r="130" spans="1:76" x14ac:dyDescent="0.2">
      <c r="A130" s="77" t="s">
        <v>550</v>
      </c>
      <c r="B130" s="88">
        <v>45405.387199074074</v>
      </c>
      <c r="C130" s="77" t="s">
        <v>551</v>
      </c>
      <c r="D130" s="77" t="s">
        <v>957</v>
      </c>
      <c r="E130" s="77" t="b">
        <v>0</v>
      </c>
      <c r="F130" s="77" t="b">
        <v>0</v>
      </c>
      <c r="G130" s="77" t="b">
        <v>0</v>
      </c>
      <c r="H130" s="77" t="b">
        <v>0</v>
      </c>
      <c r="I130" s="77" t="s">
        <v>553</v>
      </c>
      <c r="J130" s="77">
        <v>42</v>
      </c>
      <c r="K130" s="77" t="s">
        <v>552</v>
      </c>
      <c r="L130" s="77" t="s">
        <v>445</v>
      </c>
      <c r="M130" s="77" t="s">
        <v>554</v>
      </c>
      <c r="BC130" s="79" t="s">
        <v>2355</v>
      </c>
      <c r="BO130" s="77" t="b">
        <v>0</v>
      </c>
      <c r="BV130" s="77" t="str">
        <f>A130 &amp; "-" &amp; TEXT(B130, "jj/mm/aaaa") &amp; "-" &amp; COUNTIF($A$2:A257, A130)</f>
        <v>EL802XV-23/04/2024-1</v>
      </c>
      <c r="BX130" s="77" t="str">
        <v>EP138DK</v>
      </c>
    </row>
    <row r="131" spans="1:76" x14ac:dyDescent="0.2">
      <c r="A131" s="77" t="s">
        <v>2260</v>
      </c>
      <c r="B131" s="88">
        <v>45405.412210648145</v>
      </c>
      <c r="C131" s="77" t="s">
        <v>2261</v>
      </c>
      <c r="D131" s="77" t="s">
        <v>959</v>
      </c>
      <c r="E131" s="77" t="b">
        <v>1</v>
      </c>
      <c r="F131" s="77" t="b">
        <v>1</v>
      </c>
      <c r="G131" s="77" t="b">
        <v>1</v>
      </c>
      <c r="H131" s="77" t="b">
        <v>0</v>
      </c>
      <c r="I131" s="77" t="s">
        <v>302</v>
      </c>
      <c r="J131" s="77" t="s">
        <v>1136</v>
      </c>
      <c r="K131" s="77" t="s">
        <v>2266</v>
      </c>
      <c r="L131" s="77" t="s">
        <v>375</v>
      </c>
      <c r="M131" s="77">
        <v>500</v>
      </c>
      <c r="N131" s="86">
        <v>41052</v>
      </c>
      <c r="Q131" s="77" t="s">
        <v>1448</v>
      </c>
      <c r="R131" s="77" t="s">
        <v>1448</v>
      </c>
      <c r="S131" s="77" t="s">
        <v>1448</v>
      </c>
      <c r="T131" s="77" t="s">
        <v>1448</v>
      </c>
      <c r="U131" s="77" t="s">
        <v>1448</v>
      </c>
      <c r="V131" s="77" t="s">
        <v>1448</v>
      </c>
      <c r="W131" s="77" t="s">
        <v>1448</v>
      </c>
      <c r="X131" s="77" t="s">
        <v>1448</v>
      </c>
      <c r="Y131" s="77" t="s">
        <v>1448</v>
      </c>
      <c r="Z131" s="77" t="s">
        <v>1448</v>
      </c>
      <c r="AA131" s="77" t="s">
        <v>1448</v>
      </c>
      <c r="AB131" s="77" t="s">
        <v>1448</v>
      </c>
      <c r="AC131" s="77" t="s">
        <v>1448</v>
      </c>
      <c r="AD131" s="77" t="s">
        <v>1448</v>
      </c>
      <c r="AE131" s="77" t="s">
        <v>1448</v>
      </c>
      <c r="AF131" s="77" t="s">
        <v>1448</v>
      </c>
      <c r="AG131" s="77" t="s">
        <v>1448</v>
      </c>
      <c r="AH131" s="77" t="s">
        <v>1448</v>
      </c>
      <c r="AI131" s="77" t="s">
        <v>1448</v>
      </c>
      <c r="AJ131" s="77" t="s">
        <v>1448</v>
      </c>
      <c r="AK131" s="77" t="s">
        <v>1448</v>
      </c>
      <c r="AL131" s="77" t="s">
        <v>1448</v>
      </c>
      <c r="AM131" s="77" t="s">
        <v>1448</v>
      </c>
      <c r="AN131" s="77" t="s">
        <v>1448</v>
      </c>
      <c r="AO131" s="77" t="s">
        <v>1448</v>
      </c>
      <c r="AP131" s="77" t="s">
        <v>1448</v>
      </c>
      <c r="AQ131" s="77" t="s">
        <v>1448</v>
      </c>
      <c r="AR131" s="77" t="s">
        <v>1448</v>
      </c>
      <c r="AS131" s="77" t="s">
        <v>1448</v>
      </c>
      <c r="AT131" s="77" t="s">
        <v>1448</v>
      </c>
      <c r="AU131" s="77" t="s">
        <v>1448</v>
      </c>
      <c r="AV131" s="77" t="s">
        <v>1448</v>
      </c>
      <c r="AW131" s="77" t="s">
        <v>1448</v>
      </c>
      <c r="AX131" s="77" t="s">
        <v>1448</v>
      </c>
      <c r="AY131" s="77" t="s">
        <v>1448</v>
      </c>
      <c r="AZ131" s="77" t="s">
        <v>1448</v>
      </c>
      <c r="BA131" s="77" t="s">
        <v>1448</v>
      </c>
      <c r="BB131" s="77" t="s">
        <v>1448</v>
      </c>
      <c r="BD131" s="79" t="s">
        <v>2275</v>
      </c>
      <c r="BO131" s="77" t="b">
        <v>0</v>
      </c>
      <c r="BV131" s="77" t="str">
        <f>A131 &amp; "-" &amp; TEXT(B131, "jj/mm/aaaa") &amp; "-" &amp; COUNTIF($A$2:A259, A131)</f>
        <v>CZ867WV-23/04/2024-1</v>
      </c>
      <c r="BX131" s="77" t="str">
        <v>EP408QD</v>
      </c>
    </row>
    <row r="132" spans="1:76" x14ac:dyDescent="0.2">
      <c r="A132" s="77" t="s">
        <v>2267</v>
      </c>
      <c r="B132" s="88">
        <v>45405.420405092591</v>
      </c>
      <c r="C132" s="77" t="s">
        <v>1013</v>
      </c>
      <c r="D132" s="77" t="s">
        <v>959</v>
      </c>
      <c r="E132" s="77" t="b">
        <v>1</v>
      </c>
      <c r="F132" s="77" t="b">
        <v>1</v>
      </c>
      <c r="G132" s="77" t="b">
        <v>1</v>
      </c>
      <c r="H132" s="77" t="b">
        <v>0</v>
      </c>
      <c r="I132" s="77" t="s">
        <v>238</v>
      </c>
      <c r="J132" s="77" t="s">
        <v>1957</v>
      </c>
      <c r="K132" s="77" t="s">
        <v>72</v>
      </c>
      <c r="L132" s="77" t="s">
        <v>210</v>
      </c>
      <c r="M132" s="77" t="s">
        <v>2268</v>
      </c>
      <c r="N132" s="86">
        <v>62181</v>
      </c>
      <c r="Q132" s="77" t="s">
        <v>1448</v>
      </c>
      <c r="R132" s="77" t="s">
        <v>1448</v>
      </c>
      <c r="S132" s="77" t="s">
        <v>1448</v>
      </c>
      <c r="T132" s="77" t="s">
        <v>1448</v>
      </c>
      <c r="U132" s="77" t="s">
        <v>1448</v>
      </c>
      <c r="V132" s="77" t="s">
        <v>1449</v>
      </c>
      <c r="W132" s="77" t="s">
        <v>1448</v>
      </c>
      <c r="X132" s="77" t="s">
        <v>1448</v>
      </c>
      <c r="Y132" s="77" t="s">
        <v>1448</v>
      </c>
      <c r="Z132" s="77" t="s">
        <v>1448</v>
      </c>
      <c r="AA132" s="77" t="s">
        <v>1448</v>
      </c>
      <c r="AB132" s="77" t="s">
        <v>1448</v>
      </c>
      <c r="AC132" s="77" t="s">
        <v>1448</v>
      </c>
      <c r="AD132" s="77" t="s">
        <v>1448</v>
      </c>
      <c r="AE132" s="77" t="s">
        <v>1448</v>
      </c>
      <c r="AF132" s="77" t="s">
        <v>1448</v>
      </c>
      <c r="AG132" s="77" t="s">
        <v>1448</v>
      </c>
      <c r="AH132" s="77" t="s">
        <v>1448</v>
      </c>
      <c r="AI132" s="77" t="s">
        <v>1448</v>
      </c>
      <c r="AJ132" s="77" t="s">
        <v>1448</v>
      </c>
      <c r="AK132" s="77" t="s">
        <v>1448</v>
      </c>
      <c r="AL132" s="77" t="s">
        <v>1448</v>
      </c>
      <c r="AM132" s="77" t="s">
        <v>1448</v>
      </c>
      <c r="AN132" s="77" t="s">
        <v>1448</v>
      </c>
      <c r="AO132" s="77" t="s">
        <v>1448</v>
      </c>
      <c r="AP132" s="77" t="s">
        <v>1448</v>
      </c>
      <c r="AQ132" s="77" t="s">
        <v>1448</v>
      </c>
      <c r="AR132" s="77" t="s">
        <v>1448</v>
      </c>
      <c r="AS132" s="77" t="s">
        <v>1448</v>
      </c>
      <c r="AT132" s="77" t="s">
        <v>1448</v>
      </c>
      <c r="AU132" s="77" t="s">
        <v>1448</v>
      </c>
      <c r="AV132" s="77" t="s">
        <v>1448</v>
      </c>
      <c r="AW132" s="77" t="s">
        <v>1448</v>
      </c>
      <c r="AX132" s="77" t="s">
        <v>1448</v>
      </c>
      <c r="AY132" s="77" t="s">
        <v>1448</v>
      </c>
      <c r="AZ132" s="77" t="s">
        <v>1448</v>
      </c>
      <c r="BA132" s="77" t="s">
        <v>1448</v>
      </c>
      <c r="BB132" s="77" t="s">
        <v>1448</v>
      </c>
      <c r="BO132" s="77" t="b">
        <v>0</v>
      </c>
      <c r="BV132" s="77" t="str">
        <f>A132 &amp; "-" &amp; TEXT(B132, "jj/mm/aaaa") &amp; "-" &amp; COUNTIF($A$2:A261, A132)</f>
        <v>EH065NF-23/04/2024-1</v>
      </c>
      <c r="BX132" s="77" t="str">
        <v>EP634KN</v>
      </c>
    </row>
    <row r="133" spans="1:76" x14ac:dyDescent="0.2">
      <c r="A133" s="77" t="s">
        <v>2270</v>
      </c>
      <c r="B133" s="88">
        <v>45405.525520833333</v>
      </c>
      <c r="C133" s="77" t="s">
        <v>1013</v>
      </c>
      <c r="D133" s="77" t="s">
        <v>957</v>
      </c>
      <c r="E133" s="77" t="b">
        <v>1</v>
      </c>
      <c r="F133" s="77" t="b">
        <v>1</v>
      </c>
      <c r="G133" s="77" t="b">
        <v>1</v>
      </c>
      <c r="H133" s="77" t="b">
        <v>0</v>
      </c>
      <c r="I133" s="77" t="s">
        <v>1725</v>
      </c>
      <c r="K133" s="77" t="s">
        <v>81</v>
      </c>
      <c r="L133" s="77" t="s">
        <v>2271</v>
      </c>
      <c r="M133" s="77" t="s">
        <v>2272</v>
      </c>
      <c r="N133" s="86">
        <v>57426</v>
      </c>
      <c r="Q133" s="77" t="s">
        <v>1448</v>
      </c>
      <c r="R133" s="77" t="s">
        <v>1448</v>
      </c>
      <c r="S133" s="77" t="s">
        <v>1448</v>
      </c>
      <c r="T133" s="77" t="s">
        <v>1448</v>
      </c>
      <c r="U133" s="77" t="s">
        <v>1448</v>
      </c>
      <c r="V133" s="77" t="s">
        <v>1448</v>
      </c>
      <c r="W133" s="77" t="s">
        <v>1448</v>
      </c>
      <c r="X133" s="77" t="s">
        <v>1448</v>
      </c>
      <c r="Y133" s="77" t="s">
        <v>1448</v>
      </c>
      <c r="Z133" s="77" t="s">
        <v>1449</v>
      </c>
      <c r="AA133" s="77" t="s">
        <v>1449</v>
      </c>
      <c r="AB133" s="77" t="s">
        <v>1448</v>
      </c>
      <c r="AC133" s="77" t="s">
        <v>1448</v>
      </c>
      <c r="AD133" s="77" t="s">
        <v>1448</v>
      </c>
      <c r="AE133" s="77" t="s">
        <v>1448</v>
      </c>
      <c r="AF133" s="77" t="s">
        <v>1448</v>
      </c>
      <c r="AG133" s="77" t="s">
        <v>1448</v>
      </c>
      <c r="AH133" s="77" t="s">
        <v>1448</v>
      </c>
      <c r="AI133" s="77" t="s">
        <v>1448</v>
      </c>
      <c r="AJ133" s="77" t="s">
        <v>1448</v>
      </c>
      <c r="AK133" s="77" t="s">
        <v>1448</v>
      </c>
      <c r="AL133" s="77" t="s">
        <v>1448</v>
      </c>
      <c r="AM133" s="77" t="s">
        <v>1448</v>
      </c>
      <c r="AN133" s="77" t="s">
        <v>1448</v>
      </c>
      <c r="AO133" s="77" t="s">
        <v>1448</v>
      </c>
      <c r="AP133" s="77" t="s">
        <v>1448</v>
      </c>
      <c r="AQ133" s="77" t="s">
        <v>1448</v>
      </c>
      <c r="AR133" s="77" t="s">
        <v>1448</v>
      </c>
      <c r="AS133" s="77" t="s">
        <v>1448</v>
      </c>
      <c r="AT133" s="77" t="s">
        <v>1448</v>
      </c>
      <c r="AU133" s="77" t="s">
        <v>1448</v>
      </c>
      <c r="AV133" s="77" t="s">
        <v>1448</v>
      </c>
      <c r="AW133" s="77" t="s">
        <v>1448</v>
      </c>
      <c r="AX133" s="77" t="s">
        <v>1448</v>
      </c>
      <c r="AY133" s="77" t="s">
        <v>1448</v>
      </c>
      <c r="AZ133" s="77" t="s">
        <v>1448</v>
      </c>
      <c r="BA133" s="77" t="s">
        <v>1449</v>
      </c>
      <c r="BB133" s="77" t="s">
        <v>1448</v>
      </c>
      <c r="BO133" s="77" t="b">
        <v>0</v>
      </c>
      <c r="BV133" s="77" t="str">
        <f>A133 &amp; "-" &amp; TEXT(B133, "jj/mm/aaaa") &amp; "-" &amp; COUNTIF($A$2:A263, A133)</f>
        <v>FG927CT-23/04/2024-1</v>
      </c>
      <c r="BX133" s="77" t="str">
        <v>EP726VX</v>
      </c>
    </row>
    <row r="134" spans="1:76" x14ac:dyDescent="0.2">
      <c r="A134" s="77" t="s">
        <v>2278</v>
      </c>
      <c r="B134" s="88">
        <v>45406.638854166667</v>
      </c>
      <c r="C134" s="77" t="s">
        <v>2279</v>
      </c>
      <c r="D134" s="77" t="s">
        <v>959</v>
      </c>
      <c r="E134" s="77" t="b">
        <v>1</v>
      </c>
      <c r="F134" s="77" t="b">
        <v>1</v>
      </c>
      <c r="G134" s="77" t="b">
        <v>1</v>
      </c>
      <c r="H134" s="77" t="b">
        <v>0</v>
      </c>
      <c r="I134" s="77" t="s">
        <v>302</v>
      </c>
      <c r="J134" s="77" t="s">
        <v>1173</v>
      </c>
      <c r="K134" s="77" t="s">
        <v>93</v>
      </c>
      <c r="L134" s="77" t="s">
        <v>232</v>
      </c>
      <c r="M134" s="77" t="s">
        <v>2280</v>
      </c>
      <c r="N134" s="86">
        <v>52443</v>
      </c>
      <c r="Q134" s="77" t="s">
        <v>1448</v>
      </c>
      <c r="R134" s="77" t="s">
        <v>1448</v>
      </c>
      <c r="S134" s="77" t="s">
        <v>1448</v>
      </c>
      <c r="T134" s="77" t="s">
        <v>1448</v>
      </c>
      <c r="U134" s="77" t="s">
        <v>1448</v>
      </c>
      <c r="V134" s="77" t="s">
        <v>1449</v>
      </c>
      <c r="W134" s="77" t="s">
        <v>1448</v>
      </c>
      <c r="X134" s="77" t="s">
        <v>1448</v>
      </c>
      <c r="Y134" s="77" t="s">
        <v>1448</v>
      </c>
      <c r="Z134" s="77" t="s">
        <v>1448</v>
      </c>
      <c r="AA134" s="77" t="s">
        <v>1448</v>
      </c>
      <c r="AB134" s="77" t="s">
        <v>1448</v>
      </c>
      <c r="AC134" s="77" t="s">
        <v>1448</v>
      </c>
      <c r="AD134" s="77" t="s">
        <v>1448</v>
      </c>
      <c r="AE134" s="77" t="s">
        <v>1448</v>
      </c>
      <c r="AF134" s="77" t="s">
        <v>1448</v>
      </c>
      <c r="AG134" s="77" t="s">
        <v>1448</v>
      </c>
      <c r="AH134" s="77" t="s">
        <v>1448</v>
      </c>
      <c r="AI134" s="77" t="s">
        <v>1448</v>
      </c>
      <c r="AJ134" s="77" t="s">
        <v>1448</v>
      </c>
      <c r="AK134" s="77" t="s">
        <v>1448</v>
      </c>
      <c r="AL134" s="77" t="s">
        <v>1448</v>
      </c>
      <c r="AM134" s="77" t="s">
        <v>1448</v>
      </c>
      <c r="AN134" s="77" t="s">
        <v>1448</v>
      </c>
      <c r="AO134" s="77" t="s">
        <v>1448</v>
      </c>
      <c r="AP134" s="77" t="s">
        <v>1448</v>
      </c>
      <c r="AQ134" s="77" t="s">
        <v>1448</v>
      </c>
      <c r="AR134" s="77" t="s">
        <v>1448</v>
      </c>
      <c r="AS134" s="77" t="s">
        <v>1448</v>
      </c>
      <c r="AT134" s="77" t="s">
        <v>1448</v>
      </c>
      <c r="AU134" s="77" t="s">
        <v>1448</v>
      </c>
      <c r="AV134" s="77" t="s">
        <v>1448</v>
      </c>
      <c r="AW134" s="77" t="s">
        <v>1448</v>
      </c>
      <c r="AX134" s="77" t="s">
        <v>1448</v>
      </c>
      <c r="AY134" s="77" t="s">
        <v>1448</v>
      </c>
      <c r="AZ134" s="77" t="s">
        <v>1448</v>
      </c>
      <c r="BA134" s="77" t="s">
        <v>1448</v>
      </c>
      <c r="BB134" s="77" t="s">
        <v>1448</v>
      </c>
      <c r="BD134" s="79" t="s">
        <v>2282</v>
      </c>
      <c r="BE134" s="79" t="s">
        <v>2283</v>
      </c>
      <c r="BF134" s="79" t="s">
        <v>2284</v>
      </c>
      <c r="BO134" s="77" t="b">
        <v>0</v>
      </c>
      <c r="BV134" s="77" t="str">
        <f>A134 &amp; "-" &amp; TEXT(B134, "jj/mm/aaaa") &amp; "-" &amp; COUNTIF($A$2:A265, A134)</f>
        <v>FD202QT-24/04/2024-1</v>
      </c>
      <c r="BX134" s="77" t="str">
        <v>EP834KP</v>
      </c>
    </row>
    <row r="135" spans="1:76" x14ac:dyDescent="0.2">
      <c r="A135" s="77" t="s">
        <v>2285</v>
      </c>
      <c r="B135" s="88">
        <v>45408.469837962963</v>
      </c>
      <c r="C135" s="77" t="s">
        <v>2286</v>
      </c>
      <c r="D135" s="77" t="s">
        <v>959</v>
      </c>
      <c r="E135" s="77" t="b">
        <v>1</v>
      </c>
      <c r="F135" s="77" t="b">
        <v>1</v>
      </c>
      <c r="G135" s="77" t="b">
        <v>0</v>
      </c>
      <c r="H135" s="77" t="b">
        <v>1</v>
      </c>
      <c r="I135" s="77" t="s">
        <v>2291</v>
      </c>
      <c r="J135" s="77" t="s">
        <v>1136</v>
      </c>
      <c r="K135" s="77" t="s">
        <v>207</v>
      </c>
      <c r="L135" s="77" t="s">
        <v>1788</v>
      </c>
      <c r="M135" s="77" t="s">
        <v>208</v>
      </c>
      <c r="N135" s="86">
        <v>114658</v>
      </c>
      <c r="BD135" s="79" t="s">
        <v>2292</v>
      </c>
      <c r="BO135" s="77" t="b">
        <v>0</v>
      </c>
      <c r="BV135" s="77" t="str">
        <f>A135 &amp; "-" &amp; TEXT(B135, "jj/mm/aaaa") &amp; "-" &amp; COUNTIF($A$2:A267, A135)</f>
        <v>BJ719YF-26/04/2024-1</v>
      </c>
      <c r="BX135" s="77" t="str">
        <v>EQ265XK</v>
      </c>
    </row>
    <row r="136" spans="1:76" x14ac:dyDescent="0.2">
      <c r="A136" s="77" t="s">
        <v>2293</v>
      </c>
      <c r="B136" s="88">
        <v>45408.690578703703</v>
      </c>
      <c r="C136" s="77" t="s">
        <v>551</v>
      </c>
      <c r="D136" s="77" t="s">
        <v>957</v>
      </c>
      <c r="E136" s="77" t="b">
        <v>0</v>
      </c>
      <c r="F136" s="77" t="b">
        <v>0</v>
      </c>
      <c r="G136" s="77" t="b">
        <v>0</v>
      </c>
      <c r="H136" s="77" t="b">
        <v>0</v>
      </c>
      <c r="I136" s="77" t="s">
        <v>115</v>
      </c>
      <c r="J136" s="77" t="s">
        <v>1104</v>
      </c>
      <c r="K136" s="77" t="s">
        <v>256</v>
      </c>
      <c r="L136" s="77" t="s">
        <v>213</v>
      </c>
      <c r="M136" s="77" t="s">
        <v>2294</v>
      </c>
      <c r="BD136" s="79" t="s">
        <v>2296</v>
      </c>
      <c r="BE136" s="79" t="s">
        <v>2297</v>
      </c>
      <c r="BF136" s="79" t="s">
        <v>2298</v>
      </c>
      <c r="BG136" s="79" t="s">
        <v>2299</v>
      </c>
      <c r="BH136" s="79" t="s">
        <v>2300</v>
      </c>
      <c r="BO136" s="77" t="b">
        <v>0</v>
      </c>
      <c r="BV136" s="77" t="str">
        <f>A136 &amp; "-" &amp; TEXT(B136, "jj/mm/aaaa") &amp; "-" &amp; COUNTIF($A$2:A269, A136)</f>
        <v>BX846ES-26/04/2024-1</v>
      </c>
      <c r="BX136" s="77" t="str">
        <v>EQ411JS</v>
      </c>
    </row>
    <row r="137" spans="1:76" x14ac:dyDescent="0.2">
      <c r="A137" s="77" t="s">
        <v>2301</v>
      </c>
      <c r="B137" s="88">
        <v>45411.437442129631</v>
      </c>
      <c r="C137" s="77" t="s">
        <v>425</v>
      </c>
      <c r="D137" s="77" t="s">
        <v>959</v>
      </c>
      <c r="E137" s="77" t="b">
        <v>1</v>
      </c>
      <c r="F137" s="77" t="b">
        <v>1</v>
      </c>
      <c r="G137" s="77" t="b">
        <v>1</v>
      </c>
      <c r="H137" s="77" t="b">
        <v>1</v>
      </c>
      <c r="I137" s="77" t="s">
        <v>94</v>
      </c>
      <c r="J137" s="77" t="s">
        <v>1104</v>
      </c>
      <c r="K137" s="77" t="s">
        <v>2305</v>
      </c>
      <c r="L137" s="77" t="s">
        <v>1685</v>
      </c>
      <c r="M137" s="77">
        <v>208</v>
      </c>
      <c r="N137" s="86">
        <v>180497</v>
      </c>
      <c r="BD137" s="79" t="s">
        <v>2303</v>
      </c>
      <c r="BE137" s="79" t="s">
        <v>2304</v>
      </c>
      <c r="BO137" s="77" t="b">
        <v>0</v>
      </c>
      <c r="BV137" s="77" t="str">
        <f>A137 &amp; "-" &amp; TEXT(B137, "jj/mm/aaaa") &amp; "-" &amp; COUNTIF($A$2:A271, A137)</f>
        <v>ED479NZ-29/04/2024-1</v>
      </c>
      <c r="BX137" s="77" t="str">
        <v>EQ476DZ</v>
      </c>
    </row>
    <row r="138" spans="1:76" x14ac:dyDescent="0.2">
      <c r="A138" s="77" t="s">
        <v>346</v>
      </c>
      <c r="B138" s="88">
        <v>45412.362337962964</v>
      </c>
      <c r="C138" s="77" t="s">
        <v>1009</v>
      </c>
      <c r="E138" s="77" t="b">
        <v>0</v>
      </c>
      <c r="F138" s="77" t="b">
        <v>0</v>
      </c>
      <c r="G138" s="77" t="b">
        <v>0</v>
      </c>
      <c r="H138" s="77" t="b">
        <v>0</v>
      </c>
      <c r="I138" s="77" t="s">
        <v>348</v>
      </c>
      <c r="J138" s="77">
        <v>14</v>
      </c>
      <c r="K138" s="77" t="s">
        <v>347</v>
      </c>
      <c r="L138" s="77" t="s">
        <v>248</v>
      </c>
      <c r="M138" s="77" t="s">
        <v>2307</v>
      </c>
      <c r="N138" s="86">
        <v>165896</v>
      </c>
      <c r="BD138" s="79" t="s">
        <v>2309</v>
      </c>
      <c r="BE138" s="79" t="s">
        <v>2306</v>
      </c>
      <c r="BF138" s="79" t="s">
        <v>2310</v>
      </c>
      <c r="BO138" s="77" t="b">
        <v>0</v>
      </c>
      <c r="BV138" s="77" t="str">
        <f>A138 &amp; "-" &amp; TEXT(B138, "jj/mm/aaaa") &amp; "-" &amp; COUNTIF($A$2:A273, A138)</f>
        <v>DB285WK-30/04/2024-1</v>
      </c>
      <c r="BX138" s="77" t="str">
        <v>EQ709WE</v>
      </c>
    </row>
    <row r="139" spans="1:76" x14ac:dyDescent="0.2">
      <c r="A139" s="77" t="s">
        <v>2311</v>
      </c>
      <c r="B139" s="88">
        <v>45412.661759259259</v>
      </c>
      <c r="C139" s="77" t="s">
        <v>2312</v>
      </c>
      <c r="D139" s="77" t="s">
        <v>959</v>
      </c>
      <c r="E139" s="77" t="b">
        <v>1</v>
      </c>
      <c r="F139" s="77" t="b">
        <v>1</v>
      </c>
      <c r="G139" s="77" t="b">
        <v>1</v>
      </c>
      <c r="H139" s="77" t="b">
        <v>1</v>
      </c>
      <c r="I139" s="77" t="s">
        <v>2318</v>
      </c>
      <c r="J139" s="77" t="s">
        <v>2060</v>
      </c>
      <c r="K139" s="77" t="s">
        <v>2317</v>
      </c>
      <c r="L139" s="77" t="s">
        <v>2313</v>
      </c>
      <c r="M139" s="77" t="s">
        <v>2314</v>
      </c>
      <c r="N139" s="86">
        <v>150967</v>
      </c>
      <c r="Q139" s="77" t="s">
        <v>1448</v>
      </c>
      <c r="R139" s="77" t="s">
        <v>1448</v>
      </c>
      <c r="S139" s="77" t="s">
        <v>1448</v>
      </c>
      <c r="T139" s="77" t="s">
        <v>1448</v>
      </c>
      <c r="U139" s="77" t="s">
        <v>1448</v>
      </c>
      <c r="V139" s="77" t="s">
        <v>1449</v>
      </c>
      <c r="W139" s="77" t="s">
        <v>1448</v>
      </c>
      <c r="X139" s="77" t="s">
        <v>1448</v>
      </c>
      <c r="Y139" s="77" t="s">
        <v>1448</v>
      </c>
      <c r="Z139" s="77" t="s">
        <v>1448</v>
      </c>
      <c r="AA139" s="77" t="s">
        <v>1448</v>
      </c>
      <c r="AB139" s="77" t="s">
        <v>1448</v>
      </c>
      <c r="AC139" s="77" t="s">
        <v>1448</v>
      </c>
      <c r="AD139" s="77" t="s">
        <v>1448</v>
      </c>
      <c r="AE139" s="77" t="s">
        <v>1449</v>
      </c>
      <c r="AF139" s="77" t="s">
        <v>1448</v>
      </c>
      <c r="AG139" s="77" t="s">
        <v>1448</v>
      </c>
      <c r="AH139" s="77" t="s">
        <v>1448</v>
      </c>
      <c r="AI139" s="77" t="s">
        <v>1448</v>
      </c>
      <c r="AJ139" s="77" t="s">
        <v>1450</v>
      </c>
      <c r="AK139" s="77" t="s">
        <v>1448</v>
      </c>
      <c r="AL139" s="77" t="s">
        <v>1448</v>
      </c>
      <c r="AM139" s="77" t="s">
        <v>1449</v>
      </c>
      <c r="AN139" s="77" t="s">
        <v>1448</v>
      </c>
      <c r="AO139" s="77" t="s">
        <v>1448</v>
      </c>
      <c r="AP139" s="77" t="s">
        <v>1448</v>
      </c>
      <c r="AQ139" s="77" t="s">
        <v>1448</v>
      </c>
      <c r="AR139" s="77" t="s">
        <v>1448</v>
      </c>
      <c r="AS139" s="77" t="s">
        <v>1448</v>
      </c>
      <c r="AT139" s="77" t="s">
        <v>1448</v>
      </c>
      <c r="AU139" s="77" t="s">
        <v>1448</v>
      </c>
      <c r="AV139" s="77" t="s">
        <v>1448</v>
      </c>
      <c r="AW139" s="77" t="s">
        <v>1448</v>
      </c>
      <c r="AX139" s="77" t="s">
        <v>1448</v>
      </c>
      <c r="AY139" s="77" t="s">
        <v>1448</v>
      </c>
      <c r="AZ139" s="77" t="s">
        <v>1448</v>
      </c>
      <c r="BA139" s="77" t="s">
        <v>1448</v>
      </c>
      <c r="BB139" s="77" t="s">
        <v>1448</v>
      </c>
      <c r="BC139" s="79" t="s">
        <v>2321</v>
      </c>
      <c r="BD139" s="79" t="s">
        <v>2322</v>
      </c>
      <c r="BE139" s="79" t="s">
        <v>2323</v>
      </c>
      <c r="BO139" s="77" t="b">
        <v>0</v>
      </c>
      <c r="BV139" s="77" t="str">
        <f>A139 &amp; "-" &amp; TEXT(B139, "jj/mm/aaaa") &amp; "-" &amp; COUNTIF($A$2:A275, A139)</f>
        <v>CY796YW-30/04/2024-1</v>
      </c>
      <c r="BX139" s="77" t="str">
        <v>EQ978MW</v>
      </c>
    </row>
    <row r="140" spans="1:76" x14ac:dyDescent="0.2">
      <c r="A140" s="77" t="s">
        <v>166</v>
      </c>
      <c r="B140" s="88">
        <v>45415.391701388886</v>
      </c>
      <c r="C140" s="77" t="s">
        <v>2324</v>
      </c>
      <c r="D140" s="77" t="s">
        <v>957</v>
      </c>
      <c r="E140" s="77" t="b">
        <v>1</v>
      </c>
      <c r="F140" s="77" t="b">
        <v>1</v>
      </c>
      <c r="G140" s="77" t="b">
        <v>1</v>
      </c>
      <c r="H140" s="77" t="b">
        <v>1</v>
      </c>
      <c r="I140" s="77" t="s">
        <v>1942</v>
      </c>
      <c r="J140" s="77" t="s">
        <v>1986</v>
      </c>
      <c r="K140" s="77" t="s">
        <v>2327</v>
      </c>
      <c r="L140" s="77" t="s">
        <v>128</v>
      </c>
      <c r="M140" s="77" t="s">
        <v>167</v>
      </c>
      <c r="N140" s="86">
        <v>260523</v>
      </c>
      <c r="O140" s="83">
        <v>45665</v>
      </c>
      <c r="P140" s="77" t="s">
        <v>1448</v>
      </c>
      <c r="Q140" s="77" t="s">
        <v>1448</v>
      </c>
      <c r="R140" s="77" t="s">
        <v>1448</v>
      </c>
      <c r="S140" s="77" t="s">
        <v>1448</v>
      </c>
      <c r="T140" s="77" t="s">
        <v>1448</v>
      </c>
      <c r="U140" s="77" t="s">
        <v>1448</v>
      </c>
      <c r="V140" s="77" t="s">
        <v>1448</v>
      </c>
      <c r="W140" s="77" t="s">
        <v>1448</v>
      </c>
      <c r="X140" s="77" t="s">
        <v>1448</v>
      </c>
      <c r="Y140" s="77" t="s">
        <v>1448</v>
      </c>
      <c r="Z140" s="77" t="s">
        <v>1448</v>
      </c>
      <c r="AA140" s="77" t="s">
        <v>1448</v>
      </c>
      <c r="AB140" s="77" t="s">
        <v>1448</v>
      </c>
      <c r="AC140" s="77" t="s">
        <v>1448</v>
      </c>
      <c r="AD140" s="77" t="s">
        <v>1448</v>
      </c>
      <c r="AE140" s="77" t="s">
        <v>1448</v>
      </c>
      <c r="AF140" s="77" t="s">
        <v>1448</v>
      </c>
      <c r="AG140" s="77" t="s">
        <v>1448</v>
      </c>
      <c r="AH140" s="77" t="s">
        <v>1448</v>
      </c>
      <c r="AI140" s="77" t="s">
        <v>1448</v>
      </c>
      <c r="AJ140" s="77" t="s">
        <v>1448</v>
      </c>
      <c r="AK140" s="77" t="s">
        <v>1448</v>
      </c>
      <c r="AL140" s="77" t="s">
        <v>1448</v>
      </c>
      <c r="AM140" s="77" t="s">
        <v>1448</v>
      </c>
      <c r="AN140" s="77" t="s">
        <v>1448</v>
      </c>
      <c r="AO140" s="77" t="s">
        <v>1448</v>
      </c>
      <c r="AP140" s="77" t="s">
        <v>1448</v>
      </c>
      <c r="AQ140" s="77" t="s">
        <v>1448</v>
      </c>
      <c r="AR140" s="77" t="s">
        <v>1448</v>
      </c>
      <c r="AS140" s="77" t="s">
        <v>1448</v>
      </c>
      <c r="AT140" s="77" t="s">
        <v>1448</v>
      </c>
      <c r="AU140" s="77" t="s">
        <v>1448</v>
      </c>
      <c r="AV140" s="77" t="s">
        <v>1448</v>
      </c>
      <c r="AW140" s="77" t="s">
        <v>1448</v>
      </c>
      <c r="AX140" s="77" t="s">
        <v>1448</v>
      </c>
      <c r="AY140" s="77" t="s">
        <v>1448</v>
      </c>
      <c r="AZ140" s="77" t="s">
        <v>1448</v>
      </c>
      <c r="BA140" s="77" t="s">
        <v>1448</v>
      </c>
      <c r="BB140" s="77" t="s">
        <v>1448</v>
      </c>
      <c r="BD140" s="79" t="s">
        <v>2334</v>
      </c>
      <c r="BE140" s="79" t="s">
        <v>2335</v>
      </c>
      <c r="BO140" s="77" t="b">
        <v>0</v>
      </c>
      <c r="BV140" s="77" t="str">
        <f>A140 &amp; "-" &amp; TEXT(B140, "jj/mm/aaaa") &amp; "-" &amp; COUNTIF($A$2:A277, A140)</f>
        <v>BA016LZ-03/05/2024-1</v>
      </c>
      <c r="BX140" s="77" t="str">
        <v>ER590RY</v>
      </c>
    </row>
    <row r="141" spans="1:76" x14ac:dyDescent="0.2">
      <c r="A141" s="77" t="s">
        <v>2328</v>
      </c>
      <c r="B141" s="88">
        <v>45415.394317129627</v>
      </c>
      <c r="C141" s="77" t="s">
        <v>1472</v>
      </c>
      <c r="D141" s="77" t="s">
        <v>959</v>
      </c>
      <c r="E141" s="77" t="b">
        <v>1</v>
      </c>
      <c r="F141" s="77" t="b">
        <v>1</v>
      </c>
      <c r="G141" s="77" t="b">
        <v>1</v>
      </c>
      <c r="H141" s="77" t="b">
        <v>1</v>
      </c>
      <c r="I141" s="77" t="s">
        <v>1942</v>
      </c>
      <c r="J141" s="77" t="s">
        <v>1104</v>
      </c>
      <c r="K141" s="77" t="s">
        <v>2333</v>
      </c>
      <c r="L141" s="77" t="s">
        <v>2329</v>
      </c>
      <c r="M141" s="77" t="s">
        <v>2330</v>
      </c>
      <c r="N141" s="86">
        <v>139932</v>
      </c>
      <c r="O141" s="83">
        <v>45600</v>
      </c>
      <c r="P141" s="77" t="s">
        <v>1450</v>
      </c>
      <c r="Q141" s="77" t="s">
        <v>1448</v>
      </c>
      <c r="R141" s="77" t="s">
        <v>1448</v>
      </c>
      <c r="S141" s="77" t="s">
        <v>1448</v>
      </c>
      <c r="T141" s="77" t="s">
        <v>1448</v>
      </c>
      <c r="U141" s="77" t="s">
        <v>1448</v>
      </c>
      <c r="V141" s="77" t="s">
        <v>1449</v>
      </c>
      <c r="W141" s="77" t="s">
        <v>1448</v>
      </c>
      <c r="X141" s="77" t="s">
        <v>1448</v>
      </c>
      <c r="Y141" s="77" t="s">
        <v>1448</v>
      </c>
      <c r="Z141" s="77" t="s">
        <v>1448</v>
      </c>
      <c r="AA141" s="77" t="s">
        <v>1449</v>
      </c>
      <c r="AB141" s="77" t="s">
        <v>1448</v>
      </c>
      <c r="AC141" s="77" t="s">
        <v>1448</v>
      </c>
      <c r="AD141" s="77" t="s">
        <v>1448</v>
      </c>
      <c r="AE141" s="77" t="s">
        <v>1448</v>
      </c>
      <c r="AF141" s="77" t="s">
        <v>1448</v>
      </c>
      <c r="AG141" s="77" t="s">
        <v>1448</v>
      </c>
      <c r="AH141" s="77" t="s">
        <v>1448</v>
      </c>
      <c r="AI141" s="77" t="s">
        <v>1448</v>
      </c>
      <c r="AJ141" s="77" t="s">
        <v>1448</v>
      </c>
      <c r="AK141" s="77" t="s">
        <v>1448</v>
      </c>
      <c r="AL141" s="77" t="s">
        <v>1448</v>
      </c>
      <c r="AM141" s="77" t="s">
        <v>1448</v>
      </c>
      <c r="AN141" s="77" t="s">
        <v>1448</v>
      </c>
      <c r="AO141" s="77" t="s">
        <v>1448</v>
      </c>
      <c r="AP141" s="77" t="s">
        <v>1448</v>
      </c>
      <c r="AQ141" s="77" t="s">
        <v>1448</v>
      </c>
      <c r="AR141" s="77" t="s">
        <v>1448</v>
      </c>
      <c r="AS141" s="77" t="s">
        <v>1448</v>
      </c>
      <c r="AT141" s="77" t="s">
        <v>1448</v>
      </c>
      <c r="AU141" s="77" t="s">
        <v>1448</v>
      </c>
      <c r="AV141" s="77" t="s">
        <v>1448</v>
      </c>
      <c r="AW141" s="77" t="s">
        <v>1448</v>
      </c>
      <c r="AX141" s="77" t="s">
        <v>1448</v>
      </c>
      <c r="AY141" s="77" t="s">
        <v>1448</v>
      </c>
      <c r="AZ141" s="77" t="s">
        <v>1448</v>
      </c>
      <c r="BA141" s="77" t="s">
        <v>1448</v>
      </c>
      <c r="BB141" s="77" t="s">
        <v>1448</v>
      </c>
      <c r="BC141" s="79" t="s">
        <v>2346</v>
      </c>
      <c r="BD141" s="79" t="s">
        <v>2347</v>
      </c>
      <c r="BE141" s="79" t="s">
        <v>2348</v>
      </c>
      <c r="BF141" s="79" t="s">
        <v>2349</v>
      </c>
      <c r="BG141" s="79" t="s">
        <v>2350</v>
      </c>
      <c r="BH141" s="79" t="s">
        <v>2351</v>
      </c>
      <c r="BI141" s="79" t="s">
        <v>2352</v>
      </c>
      <c r="BJ141" s="79" t="s">
        <v>2353</v>
      </c>
      <c r="BO141" s="77" t="b">
        <v>0</v>
      </c>
      <c r="BV141" s="77" t="str">
        <f>A141 &amp; "-" &amp; TEXT(B141, "jj/mm/aaaa") &amp; "-" &amp; COUNTIF($A$2:A279, A141)</f>
        <v>DX181TA-03/05/2024-2</v>
      </c>
      <c r="BX141" s="77" t="str">
        <v>ER793BF</v>
      </c>
    </row>
    <row r="142" spans="1:76" x14ac:dyDescent="0.2">
      <c r="A142" s="77" t="s">
        <v>2336</v>
      </c>
      <c r="B142" s="88">
        <v>45418.38013888889</v>
      </c>
      <c r="C142" s="77" t="s">
        <v>2337</v>
      </c>
      <c r="D142" s="77" t="s">
        <v>959</v>
      </c>
      <c r="E142" s="77" t="b">
        <v>0</v>
      </c>
      <c r="F142" s="77" t="b">
        <v>0</v>
      </c>
      <c r="G142" s="77" t="b">
        <v>0</v>
      </c>
      <c r="H142" s="77" t="b">
        <v>0</v>
      </c>
      <c r="I142" s="77" t="s">
        <v>78</v>
      </c>
      <c r="J142" s="77" t="s">
        <v>1834</v>
      </c>
      <c r="K142" s="77" t="s">
        <v>93</v>
      </c>
      <c r="L142" s="77" t="s">
        <v>213</v>
      </c>
      <c r="M142" s="77" t="s">
        <v>2339</v>
      </c>
      <c r="N142" s="86">
        <v>119261</v>
      </c>
      <c r="O142" s="77" t="s">
        <v>2425</v>
      </c>
      <c r="P142" s="77" t="s">
        <v>1448</v>
      </c>
      <c r="Q142" s="77" t="s">
        <v>1448</v>
      </c>
      <c r="R142" s="77" t="s">
        <v>1448</v>
      </c>
      <c r="S142" s="77" t="s">
        <v>1449</v>
      </c>
      <c r="T142" s="77" t="s">
        <v>1448</v>
      </c>
      <c r="U142" s="77" t="s">
        <v>1448</v>
      </c>
      <c r="V142" s="77" t="s">
        <v>1448</v>
      </c>
      <c r="W142" s="77" t="s">
        <v>1448</v>
      </c>
      <c r="X142" s="77" t="s">
        <v>1448</v>
      </c>
      <c r="Y142" s="77" t="s">
        <v>1448</v>
      </c>
      <c r="Z142" s="77" t="s">
        <v>1448</v>
      </c>
      <c r="AA142" s="77" t="s">
        <v>1448</v>
      </c>
      <c r="AB142" s="77" t="s">
        <v>1449</v>
      </c>
      <c r="AD142" s="77" t="s">
        <v>1449</v>
      </c>
      <c r="AE142" s="77" t="s">
        <v>1449</v>
      </c>
      <c r="AF142" s="77" t="s">
        <v>1448</v>
      </c>
      <c r="AG142" s="77" t="s">
        <v>1448</v>
      </c>
      <c r="AH142" s="77" t="s">
        <v>1448</v>
      </c>
      <c r="AI142" s="77" t="s">
        <v>1448</v>
      </c>
      <c r="AK142" s="77" t="s">
        <v>1448</v>
      </c>
      <c r="AL142" s="77" t="s">
        <v>1449</v>
      </c>
      <c r="AM142" s="77" t="s">
        <v>1449</v>
      </c>
      <c r="AN142" s="77" t="s">
        <v>1448</v>
      </c>
      <c r="AO142" s="77" t="s">
        <v>1448</v>
      </c>
      <c r="AP142" s="77" t="s">
        <v>1448</v>
      </c>
      <c r="AQ142" s="77" t="s">
        <v>1448</v>
      </c>
      <c r="AR142" s="77" t="s">
        <v>1448</v>
      </c>
      <c r="AS142" s="77" t="s">
        <v>1448</v>
      </c>
      <c r="AT142" s="77" t="s">
        <v>1448</v>
      </c>
      <c r="AU142" s="77" t="s">
        <v>1448</v>
      </c>
      <c r="AV142" s="77" t="s">
        <v>1448</v>
      </c>
      <c r="AW142" s="77" t="s">
        <v>1448</v>
      </c>
      <c r="AX142" s="77" t="s">
        <v>1448</v>
      </c>
      <c r="AY142" s="77" t="s">
        <v>1449</v>
      </c>
      <c r="BC142" s="79" t="s">
        <v>2409</v>
      </c>
      <c r="BD142" s="79" t="s">
        <v>2584</v>
      </c>
      <c r="BE142" s="79" t="s">
        <v>2410</v>
      </c>
      <c r="BG142" s="79" t="s">
        <v>2411</v>
      </c>
      <c r="BO142" s="77" t="b">
        <v>0</v>
      </c>
      <c r="BV142" s="77" t="str">
        <f>A142 &amp; "-" &amp; TEXT(B142, "jj/mm/aaaa") &amp; "-" &amp; COUNTIF($A$2:A281, A142)</f>
        <v>FW611WF-06/05/2024-1</v>
      </c>
      <c r="BX142" s="77" t="str">
        <v>ER837PG</v>
      </c>
    </row>
    <row r="143" spans="1:76" x14ac:dyDescent="0.2">
      <c r="A143" s="77" t="s">
        <v>2341</v>
      </c>
      <c r="B143" s="88">
        <v>45418.545104166667</v>
      </c>
      <c r="C143" s="77" t="s">
        <v>2342</v>
      </c>
      <c r="D143" s="77" t="s">
        <v>957</v>
      </c>
      <c r="E143" s="77" t="b">
        <v>1</v>
      </c>
      <c r="F143" s="77" t="b">
        <v>1</v>
      </c>
      <c r="G143" s="77" t="b">
        <v>1</v>
      </c>
      <c r="H143" s="77" t="b">
        <v>1</v>
      </c>
      <c r="I143" s="77" t="s">
        <v>2345</v>
      </c>
      <c r="J143" s="77" t="s">
        <v>1484</v>
      </c>
      <c r="K143" s="77">
        <v>25</v>
      </c>
      <c r="L143" s="77" t="s">
        <v>135</v>
      </c>
      <c r="M143" s="77" t="s">
        <v>701</v>
      </c>
      <c r="N143" s="86">
        <v>322537</v>
      </c>
      <c r="O143" s="83">
        <v>45477</v>
      </c>
      <c r="Q143" s="77" t="s">
        <v>1448</v>
      </c>
      <c r="R143" s="77" t="s">
        <v>1448</v>
      </c>
      <c r="S143" s="77" t="s">
        <v>1448</v>
      </c>
      <c r="T143" s="77" t="s">
        <v>1448</v>
      </c>
      <c r="U143" s="77" t="s">
        <v>1448</v>
      </c>
      <c r="V143" s="77" t="s">
        <v>1448</v>
      </c>
      <c r="W143" s="77" t="s">
        <v>1448</v>
      </c>
      <c r="X143" s="77" t="s">
        <v>1448</v>
      </c>
      <c r="Y143" s="77" t="s">
        <v>1448</v>
      </c>
      <c r="Z143" s="77" t="s">
        <v>1448</v>
      </c>
      <c r="AA143" s="77" t="s">
        <v>1448</v>
      </c>
      <c r="AB143" s="77" t="s">
        <v>1448</v>
      </c>
      <c r="AC143" s="77" t="s">
        <v>1448</v>
      </c>
      <c r="AD143" s="77" t="s">
        <v>1448</v>
      </c>
      <c r="AE143" s="77" t="s">
        <v>1448</v>
      </c>
      <c r="AF143" s="77" t="s">
        <v>1448</v>
      </c>
      <c r="AG143" s="77" t="s">
        <v>1448</v>
      </c>
      <c r="AH143" s="77" t="s">
        <v>1448</v>
      </c>
      <c r="AI143" s="77" t="s">
        <v>1448</v>
      </c>
      <c r="AJ143" s="77" t="s">
        <v>1448</v>
      </c>
      <c r="AK143" s="77" t="s">
        <v>1448</v>
      </c>
      <c r="AL143" s="77" t="s">
        <v>1448</v>
      </c>
      <c r="AM143" s="77" t="s">
        <v>1448</v>
      </c>
      <c r="AN143" s="77" t="s">
        <v>1448</v>
      </c>
      <c r="AO143" s="77" t="s">
        <v>1448</v>
      </c>
      <c r="AP143" s="77" t="s">
        <v>1448</v>
      </c>
      <c r="AQ143" s="77" t="s">
        <v>1448</v>
      </c>
      <c r="AR143" s="77" t="s">
        <v>1448</v>
      </c>
      <c r="AS143" s="77" t="s">
        <v>1448</v>
      </c>
      <c r="AT143" s="77" t="s">
        <v>1448</v>
      </c>
      <c r="AU143" s="77" t="s">
        <v>1448</v>
      </c>
      <c r="AV143" s="77" t="s">
        <v>1448</v>
      </c>
      <c r="AW143" s="77" t="s">
        <v>1448</v>
      </c>
      <c r="AX143" s="77" t="s">
        <v>1448</v>
      </c>
      <c r="AY143" s="77" t="s">
        <v>1448</v>
      </c>
      <c r="AZ143" s="77" t="s">
        <v>1448</v>
      </c>
      <c r="BA143" s="77" t="s">
        <v>1448</v>
      </c>
      <c r="BB143" s="77" t="s">
        <v>1448</v>
      </c>
      <c r="BC143" s="79" t="s">
        <v>2476</v>
      </c>
      <c r="BD143" s="79" t="s">
        <v>2477</v>
      </c>
      <c r="BE143" s="79" t="s">
        <v>2478</v>
      </c>
      <c r="BF143" s="79" t="s">
        <v>2479</v>
      </c>
      <c r="BG143" s="79" t="s">
        <v>2484</v>
      </c>
      <c r="BO143" s="77" t="b">
        <v>0</v>
      </c>
      <c r="BV143" s="77" t="str">
        <f>A143 &amp; "-" &amp; TEXT(B143, "jj/mm/aaaa") &amp; "-" &amp; COUNTIF($A$2:A283, A143)</f>
        <v>BP224MA-06/05/2024-1</v>
      </c>
      <c r="BX143" s="77" t="str">
        <v>ET214FM</v>
      </c>
    </row>
    <row r="144" spans="1:76" x14ac:dyDescent="0.2">
      <c r="A144" s="77" t="s">
        <v>982</v>
      </c>
      <c r="B144" s="88">
        <v>45425.539965277778</v>
      </c>
      <c r="C144" s="77" t="s">
        <v>270</v>
      </c>
      <c r="D144" s="77" t="s">
        <v>959</v>
      </c>
      <c r="E144" s="77" t="b">
        <v>0</v>
      </c>
      <c r="F144" s="77" t="b">
        <v>0</v>
      </c>
      <c r="G144" s="77" t="b">
        <v>0</v>
      </c>
      <c r="H144" s="77" t="b">
        <v>0</v>
      </c>
      <c r="I144" s="77" t="s">
        <v>447</v>
      </c>
      <c r="J144" s="77">
        <v>34</v>
      </c>
      <c r="K144" s="77" t="s">
        <v>256</v>
      </c>
      <c r="L144" s="77" t="s">
        <v>139</v>
      </c>
      <c r="M144" s="77" t="s">
        <v>432</v>
      </c>
      <c r="N144" s="86">
        <v>155846</v>
      </c>
      <c r="BC144" s="79" t="s">
        <v>2368</v>
      </c>
      <c r="BD144" s="79" t="s">
        <v>2357</v>
      </c>
      <c r="BE144" s="79" t="s">
        <v>2358</v>
      </c>
      <c r="BF144" s="79" t="s">
        <v>2359</v>
      </c>
      <c r="BO144" s="77" t="b">
        <v>0</v>
      </c>
      <c r="BV144" s="77" t="str">
        <f>A144 &amp; "-" &amp; TEXT(B144, "jj/mm/aaaa") &amp; "-" &amp; COUNTIF($A$2:A285, A144)</f>
        <v>DV492KH-13/05/2024-1</v>
      </c>
      <c r="BX144" s="77" t="str">
        <v>ET230YD</v>
      </c>
    </row>
    <row r="145" spans="1:76" x14ac:dyDescent="0.2">
      <c r="A145" s="77" t="s">
        <v>2360</v>
      </c>
      <c r="B145" s="88">
        <v>45426.457569444443</v>
      </c>
      <c r="C145" s="77" t="s">
        <v>2361</v>
      </c>
      <c r="D145" s="77" t="s">
        <v>959</v>
      </c>
      <c r="E145" s="77" t="b">
        <v>0</v>
      </c>
      <c r="F145" s="77" t="b">
        <v>0</v>
      </c>
      <c r="G145" s="77" t="b">
        <v>0</v>
      </c>
      <c r="H145" s="77" t="b">
        <v>0</v>
      </c>
      <c r="I145" s="77" t="s">
        <v>1871</v>
      </c>
      <c r="J145" s="77" t="s">
        <v>1093</v>
      </c>
      <c r="K145" s="77" t="s">
        <v>805</v>
      </c>
      <c r="L145" s="77" t="s">
        <v>2362</v>
      </c>
      <c r="M145" s="77" t="s">
        <v>191</v>
      </c>
      <c r="N145" s="86">
        <v>155758</v>
      </c>
      <c r="BC145" s="79" t="s">
        <v>2365</v>
      </c>
      <c r="BD145" s="79" t="s">
        <v>2366</v>
      </c>
      <c r="BE145" s="79" t="s">
        <v>2367</v>
      </c>
      <c r="BO145" s="77" t="b">
        <v>0</v>
      </c>
      <c r="BV145" s="77" t="str">
        <f>A145 &amp; "-" &amp; TEXT(B145, "jj/mm/aaaa") &amp; "-" &amp; COUNTIF($A$2:A287, A145)</f>
        <v>AL348ZK-14/05/2024-1</v>
      </c>
      <c r="BX145" s="77" t="str">
        <v>EV418DA</v>
      </c>
    </row>
    <row r="146" spans="1:76" x14ac:dyDescent="0.2">
      <c r="A146" s="77" t="s">
        <v>156</v>
      </c>
      <c r="B146" s="88">
        <v>45426.685810185183</v>
      </c>
      <c r="C146" s="77" t="s">
        <v>894</v>
      </c>
      <c r="D146" s="77" t="s">
        <v>957</v>
      </c>
      <c r="E146" s="77" t="b">
        <v>0</v>
      </c>
      <c r="F146" s="77" t="b">
        <v>0</v>
      </c>
      <c r="G146" s="77" t="b">
        <v>0</v>
      </c>
      <c r="H146" s="77" t="b">
        <v>0</v>
      </c>
      <c r="I146" s="77" t="s">
        <v>78</v>
      </c>
      <c r="J146" s="77" t="s">
        <v>1484</v>
      </c>
      <c r="K146" s="77" t="s">
        <v>158</v>
      </c>
      <c r="L146" s="77" t="s">
        <v>139</v>
      </c>
      <c r="M146" s="77" t="s">
        <v>2369</v>
      </c>
      <c r="N146" s="86">
        <v>161171</v>
      </c>
      <c r="BC146" s="79" t="s">
        <v>2372</v>
      </c>
      <c r="BD146" s="79" t="s">
        <v>2373</v>
      </c>
      <c r="BE146" s="79" t="s">
        <v>2374</v>
      </c>
      <c r="BF146" s="79" t="s">
        <v>2375</v>
      </c>
      <c r="BO146" s="77" t="b">
        <v>0</v>
      </c>
      <c r="BV146" s="77" t="str">
        <f>A146 &amp; "-" &amp; TEXT(B146, "jj/mm/aaaa") &amp; "-" &amp; COUNTIF($A$2:A289, A146)</f>
        <v>AX402VL-14/05/2024-1</v>
      </c>
      <c r="BX146" s="77" t="str">
        <v>EW020SD</v>
      </c>
    </row>
    <row r="147" spans="1:76" x14ac:dyDescent="0.2">
      <c r="A147" s="77" t="s">
        <v>715</v>
      </c>
      <c r="B147" s="88">
        <v>45426.721493055556</v>
      </c>
      <c r="C147" s="77" t="s">
        <v>1019</v>
      </c>
      <c r="D147" s="77" t="s">
        <v>959</v>
      </c>
      <c r="E147" s="77" t="b">
        <v>1</v>
      </c>
      <c r="F147" s="77" t="b">
        <v>1</v>
      </c>
      <c r="G147" s="77" t="b">
        <v>1</v>
      </c>
      <c r="H147" s="77" t="b">
        <v>1</v>
      </c>
      <c r="I147" s="77" t="s">
        <v>238</v>
      </c>
      <c r="J147" s="77">
        <v>34</v>
      </c>
      <c r="K147" s="77" t="s">
        <v>256</v>
      </c>
      <c r="L147" s="77" t="s">
        <v>139</v>
      </c>
      <c r="M147" s="77" t="s">
        <v>716</v>
      </c>
      <c r="N147" s="86">
        <v>211711</v>
      </c>
      <c r="BC147" s="79" t="s">
        <v>2376</v>
      </c>
      <c r="BD147" s="79" t="s">
        <v>2377</v>
      </c>
      <c r="BO147" s="77" t="b">
        <v>0</v>
      </c>
      <c r="BV147" s="77" t="str">
        <f>A147 &amp; "-" &amp; TEXT(B147, "jj/mm/aaaa") &amp; "-" &amp; COUNTIF($A$2:A291, A147)</f>
        <v>FJ539LC-14/05/2024-1</v>
      </c>
      <c r="BX147" s="77" t="str">
        <v>EW691RL</v>
      </c>
    </row>
    <row r="148" spans="1:76" x14ac:dyDescent="0.2">
      <c r="A148" s="77" t="s">
        <v>2378</v>
      </c>
      <c r="B148" s="88">
        <v>45427.594560185185</v>
      </c>
      <c r="C148" s="77" t="s">
        <v>2379</v>
      </c>
      <c r="D148" s="77" t="s">
        <v>959</v>
      </c>
      <c r="E148" s="77" t="b">
        <v>0</v>
      </c>
      <c r="F148" s="77" t="b">
        <v>0</v>
      </c>
      <c r="G148" s="77" t="b">
        <v>0</v>
      </c>
      <c r="H148" s="77" t="b">
        <v>0</v>
      </c>
      <c r="I148" s="77" t="s">
        <v>2383</v>
      </c>
      <c r="J148" s="77" t="s">
        <v>1986</v>
      </c>
      <c r="K148" s="77" t="s">
        <v>2382</v>
      </c>
      <c r="L148" s="77" t="s">
        <v>135</v>
      </c>
      <c r="M148" s="77" t="s">
        <v>2380</v>
      </c>
      <c r="N148" s="86">
        <v>93328</v>
      </c>
      <c r="BC148" s="79" t="s">
        <v>2384</v>
      </c>
      <c r="BO148" s="77" t="b">
        <v>0</v>
      </c>
      <c r="BV148" s="77" t="str">
        <f>A148 &amp; "-" &amp; TEXT(B148, "jj/mm/aaaa") &amp; "-" &amp; COUNTIF($A$2:A293, A148)</f>
        <v>FR323GT-15/05/2024-1</v>
      </c>
      <c r="BX148" s="77" t="str">
        <v>EW891LN</v>
      </c>
    </row>
    <row r="149" spans="1:76" x14ac:dyDescent="0.2">
      <c r="A149" s="77" t="s">
        <v>159</v>
      </c>
      <c r="B149" s="88">
        <v>45428.359733796293</v>
      </c>
      <c r="C149" s="77" t="s">
        <v>895</v>
      </c>
      <c r="D149" s="77" t="s">
        <v>959</v>
      </c>
      <c r="E149" s="77" t="b">
        <v>1</v>
      </c>
      <c r="F149" s="77" t="b">
        <v>1</v>
      </c>
      <c r="G149" s="77" t="b">
        <v>1</v>
      </c>
      <c r="H149" s="77" t="b">
        <v>1</v>
      </c>
      <c r="I149" s="77" t="s">
        <v>94</v>
      </c>
      <c r="K149" s="77" t="s">
        <v>160</v>
      </c>
      <c r="L149" s="77" t="s">
        <v>139</v>
      </c>
      <c r="M149" s="77" t="s">
        <v>161</v>
      </c>
      <c r="N149" s="86">
        <v>263854</v>
      </c>
      <c r="Q149" s="77" t="s">
        <v>1448</v>
      </c>
      <c r="S149" s="77" t="s">
        <v>1449</v>
      </c>
      <c r="T149" s="77" t="s">
        <v>1448</v>
      </c>
      <c r="U149" s="77" t="s">
        <v>1448</v>
      </c>
      <c r="V149" s="77" t="s">
        <v>1448</v>
      </c>
      <c r="X149" s="77" t="s">
        <v>1448</v>
      </c>
      <c r="Y149" s="77" t="s">
        <v>1448</v>
      </c>
      <c r="Z149" s="77" t="s">
        <v>1448</v>
      </c>
      <c r="AA149" s="77" t="s">
        <v>1448</v>
      </c>
      <c r="AB149" s="77" t="s">
        <v>1448</v>
      </c>
      <c r="AC149" s="77" t="s">
        <v>1448</v>
      </c>
      <c r="AD149" s="77" t="s">
        <v>1448</v>
      </c>
      <c r="AE149" s="77" t="s">
        <v>1448</v>
      </c>
      <c r="AF149" s="77" t="s">
        <v>1448</v>
      </c>
      <c r="AG149" s="77" t="s">
        <v>1448</v>
      </c>
      <c r="AI149" s="77" t="s">
        <v>1448</v>
      </c>
      <c r="AK149" s="77" t="s">
        <v>1448</v>
      </c>
      <c r="AL149" s="77" t="s">
        <v>1448</v>
      </c>
      <c r="AM149" s="77" t="s">
        <v>1448</v>
      </c>
      <c r="AN149" s="77" t="s">
        <v>1448</v>
      </c>
      <c r="AO149" s="77" t="s">
        <v>1448</v>
      </c>
      <c r="AP149" s="77" t="s">
        <v>1448</v>
      </c>
      <c r="AQ149" s="77" t="s">
        <v>1448</v>
      </c>
      <c r="AR149" s="77" t="s">
        <v>1448</v>
      </c>
      <c r="AS149" s="77" t="s">
        <v>1448</v>
      </c>
      <c r="AT149" s="77" t="s">
        <v>1448</v>
      </c>
      <c r="AU149" s="77" t="s">
        <v>1448</v>
      </c>
      <c r="AV149" s="77" t="s">
        <v>1448</v>
      </c>
      <c r="AW149" s="77" t="s">
        <v>1448</v>
      </c>
      <c r="AX149" s="77" t="s">
        <v>1448</v>
      </c>
      <c r="AY149" s="77" t="s">
        <v>1448</v>
      </c>
      <c r="AZ149" s="77" t="s">
        <v>1448</v>
      </c>
      <c r="BA149" s="77" t="s">
        <v>1448</v>
      </c>
      <c r="BB149" s="77" t="s">
        <v>1448</v>
      </c>
      <c r="BC149" s="79" t="s">
        <v>2386</v>
      </c>
      <c r="BD149" s="79" t="s">
        <v>2387</v>
      </c>
      <c r="BO149" s="77" t="b">
        <v>0</v>
      </c>
      <c r="BV149" s="77" t="str">
        <f>A149 &amp; "-" &amp; TEXT(B149, "jj/mm/aaaa") &amp; "-" &amp; COUNTIF($A$2:A295, A149)</f>
        <v>AY019ZT-16/05/2024-1</v>
      </c>
      <c r="BX149" s="77" t="str">
        <v>EX547MD</v>
      </c>
    </row>
    <row r="150" spans="1:76" x14ac:dyDescent="0.2">
      <c r="A150" s="77" t="s">
        <v>2388</v>
      </c>
      <c r="B150" s="88">
        <v>45428.369351851848</v>
      </c>
      <c r="C150" s="77" t="s">
        <v>2389</v>
      </c>
      <c r="D150" s="77" t="s">
        <v>957</v>
      </c>
      <c r="E150" s="77" t="b">
        <v>1</v>
      </c>
      <c r="F150" s="77" t="b">
        <v>1</v>
      </c>
      <c r="G150" s="77" t="b">
        <v>1</v>
      </c>
      <c r="H150" s="77" t="b">
        <v>0</v>
      </c>
      <c r="I150" s="77" t="s">
        <v>256</v>
      </c>
      <c r="J150" s="77" t="s">
        <v>1484</v>
      </c>
      <c r="K150" s="77" t="s">
        <v>2393</v>
      </c>
      <c r="L150" s="77" t="s">
        <v>2390</v>
      </c>
      <c r="M150" s="77" t="s">
        <v>2391</v>
      </c>
      <c r="N150" s="86">
        <v>39338</v>
      </c>
      <c r="BC150" s="79" t="s">
        <v>2394</v>
      </c>
      <c r="BD150" s="79" t="s">
        <v>2395</v>
      </c>
      <c r="BO150" s="77" t="b">
        <v>0</v>
      </c>
      <c r="BV150" s="77" t="str">
        <f>A150 &amp; "-" &amp; TEXT(B150, "jj/mm/aaaa") &amp; "-" &amp; COUNTIF($A$2:A297, A150)</f>
        <v>FG040RS-16/05/2024-1</v>
      </c>
      <c r="BX150" s="77" t="str">
        <v>EY030YA</v>
      </c>
    </row>
    <row r="151" spans="1:76" x14ac:dyDescent="0.2">
      <c r="A151" s="77" t="s">
        <v>2396</v>
      </c>
      <c r="B151" s="88">
        <v>45428.378495370373</v>
      </c>
      <c r="C151" s="77" t="s">
        <v>2397</v>
      </c>
      <c r="D151" s="77" t="s">
        <v>957</v>
      </c>
      <c r="E151" s="77" t="b">
        <v>0</v>
      </c>
      <c r="F151" s="77" t="b">
        <v>0</v>
      </c>
      <c r="G151" s="77" t="b">
        <v>0</v>
      </c>
      <c r="H151" s="77" t="b">
        <v>0</v>
      </c>
      <c r="I151" s="77" t="s">
        <v>94</v>
      </c>
      <c r="J151" s="77" t="s">
        <v>1484</v>
      </c>
      <c r="K151" s="77" t="s">
        <v>160</v>
      </c>
      <c r="L151" s="77" t="s">
        <v>111</v>
      </c>
      <c r="M151" s="77">
        <v>307</v>
      </c>
      <c r="N151" s="86">
        <v>141730</v>
      </c>
      <c r="BC151" s="79" t="s">
        <v>2399</v>
      </c>
      <c r="BD151" s="79" t="s">
        <v>2400</v>
      </c>
      <c r="BO151" s="77" t="b">
        <v>0</v>
      </c>
      <c r="BV151" s="77" t="str">
        <f>A151 &amp; "-" &amp; TEXT(B151, "jj/mm/aaaa") &amp; "-" &amp; COUNTIF($A$2:A299, A151)</f>
        <v>DZ801JR-16/05/2024-1</v>
      </c>
      <c r="BX151" s="77" t="str">
        <v>EY452ZP</v>
      </c>
    </row>
    <row r="152" spans="1:76" x14ac:dyDescent="0.2">
      <c r="A152" s="77" t="s">
        <v>448</v>
      </c>
      <c r="B152" s="88">
        <v>45428.398263888892</v>
      </c>
      <c r="C152" s="77" t="s">
        <v>1029</v>
      </c>
      <c r="E152" s="77" t="b">
        <v>0</v>
      </c>
      <c r="F152" s="77" t="b">
        <v>0</v>
      </c>
      <c r="G152" s="77" t="b">
        <v>0</v>
      </c>
      <c r="H152" s="77" t="b">
        <v>0</v>
      </c>
      <c r="I152" s="77" t="s">
        <v>450</v>
      </c>
      <c r="K152" s="77" t="s">
        <v>449</v>
      </c>
      <c r="L152" s="77" t="s">
        <v>1341</v>
      </c>
      <c r="M152" s="77" t="s">
        <v>1371</v>
      </c>
      <c r="N152" s="86">
        <v>129733</v>
      </c>
      <c r="BC152" s="79" t="s">
        <v>2401</v>
      </c>
      <c r="BD152" s="79" t="s">
        <v>2402</v>
      </c>
      <c r="BO152" s="77" t="b">
        <v>0</v>
      </c>
      <c r="BV152" s="77" t="str">
        <f>A152 &amp; "-" &amp; TEXT(B152, "jj/mm/aaaa") &amp; "-" &amp; COUNTIF($A$2:A301, A152)</f>
        <v>DV503PY-16/05/2024-1</v>
      </c>
      <c r="BX152" s="77" t="str">
        <v>EZ246YD</v>
      </c>
    </row>
    <row r="153" spans="1:76" x14ac:dyDescent="0.2">
      <c r="A153" s="77" t="s">
        <v>2403</v>
      </c>
      <c r="B153" s="88">
        <v>45428.678055555552</v>
      </c>
      <c r="C153" s="77" t="s">
        <v>2404</v>
      </c>
      <c r="D153" s="77" t="s">
        <v>957</v>
      </c>
      <c r="E153" s="77" t="b">
        <v>1</v>
      </c>
      <c r="F153" s="77" t="b">
        <v>1</v>
      </c>
      <c r="G153" s="77" t="b">
        <v>1</v>
      </c>
      <c r="H153" s="77" t="b">
        <v>0</v>
      </c>
      <c r="I153" s="77" t="s">
        <v>1871</v>
      </c>
      <c r="J153" s="77" t="s">
        <v>2054</v>
      </c>
      <c r="K153" s="77" t="s">
        <v>2407</v>
      </c>
      <c r="L153" s="77" t="s">
        <v>73</v>
      </c>
      <c r="M153" s="77" t="s">
        <v>2405</v>
      </c>
      <c r="N153" s="86">
        <v>157083</v>
      </c>
      <c r="BC153" s="79" t="s">
        <v>2408</v>
      </c>
      <c r="BO153" s="77" t="b">
        <v>0</v>
      </c>
      <c r="BV153" s="77" t="str">
        <f>A153 &amp; "-" &amp; TEXT(B153, "jj/mm/aaaa") &amp; "-" &amp; COUNTIF($A$2:A303, A153)</f>
        <v>CY540EV-16/05/2024-1</v>
      </c>
      <c r="BX153" s="77" t="str">
        <v>EZ813KB</v>
      </c>
    </row>
    <row r="154" spans="1:76" x14ac:dyDescent="0.2">
      <c r="A154" s="77" t="s">
        <v>2412</v>
      </c>
      <c r="B154" s="88">
        <v>45429.385983796295</v>
      </c>
      <c r="C154" s="77" t="s">
        <v>2413</v>
      </c>
      <c r="D154" s="77" t="s">
        <v>957</v>
      </c>
      <c r="E154" s="77" t="b">
        <v>1</v>
      </c>
      <c r="F154" s="77" t="b">
        <v>1</v>
      </c>
      <c r="G154" s="77" t="b">
        <v>1</v>
      </c>
      <c r="H154" s="77" t="b">
        <v>1</v>
      </c>
      <c r="I154" s="77" t="s">
        <v>115</v>
      </c>
      <c r="J154" s="77" t="s">
        <v>1136</v>
      </c>
      <c r="K154" s="77" t="s">
        <v>256</v>
      </c>
      <c r="L154" s="77" t="s">
        <v>1867</v>
      </c>
      <c r="M154" s="77" t="s">
        <v>2415</v>
      </c>
      <c r="N154" s="86">
        <v>70988</v>
      </c>
      <c r="BC154" s="79" t="s">
        <v>2334</v>
      </c>
      <c r="BD154" s="79" t="s">
        <v>2417</v>
      </c>
      <c r="BE154" s="79" t="s">
        <v>2418</v>
      </c>
      <c r="BO154" s="77" t="b">
        <v>0</v>
      </c>
      <c r="BV154" s="77" t="str">
        <f>A154 &amp; "-" &amp; TEXT(B154, "jj/mm/aaaa") &amp; "-" &amp; COUNTIF($A$2:A305, A154)</f>
        <v>ER793BF-17/05/2024-1</v>
      </c>
      <c r="BX154" s="77" t="str">
        <v>EZ830FG</v>
      </c>
    </row>
    <row r="155" spans="1:76" x14ac:dyDescent="0.2">
      <c r="A155" s="77" t="s">
        <v>2422</v>
      </c>
      <c r="B155" s="88">
        <v>45429.605497685188</v>
      </c>
      <c r="C155" s="77" t="s">
        <v>2419</v>
      </c>
      <c r="D155" s="77" t="s">
        <v>957</v>
      </c>
      <c r="E155" s="77" t="b">
        <v>1</v>
      </c>
      <c r="F155" s="77" t="b">
        <v>1</v>
      </c>
      <c r="G155" s="77" t="b">
        <v>0</v>
      </c>
      <c r="H155" s="77" t="b">
        <v>1</v>
      </c>
      <c r="I155" s="77" t="s">
        <v>1871</v>
      </c>
      <c r="J155" s="77" t="s">
        <v>1104</v>
      </c>
      <c r="K155" s="77" t="s">
        <v>130</v>
      </c>
      <c r="L155" s="77" t="s">
        <v>73</v>
      </c>
      <c r="M155" s="77" t="s">
        <v>2420</v>
      </c>
      <c r="N155" s="86">
        <v>269502</v>
      </c>
      <c r="Q155" s="77" t="s">
        <v>1448</v>
      </c>
      <c r="R155" s="77" t="s">
        <v>1448</v>
      </c>
      <c r="S155" s="77" t="s">
        <v>1448</v>
      </c>
      <c r="T155" s="77" t="s">
        <v>1448</v>
      </c>
      <c r="U155" s="77" t="s">
        <v>1448</v>
      </c>
      <c r="V155" s="77" t="s">
        <v>1448</v>
      </c>
      <c r="W155" s="77" t="s">
        <v>1448</v>
      </c>
      <c r="X155" s="77" t="s">
        <v>1448</v>
      </c>
      <c r="Y155" s="77" t="s">
        <v>1448</v>
      </c>
      <c r="Z155" s="77" t="s">
        <v>1448</v>
      </c>
      <c r="AA155" s="77" t="s">
        <v>1448</v>
      </c>
      <c r="AB155" s="77" t="s">
        <v>1448</v>
      </c>
      <c r="AC155" s="77" t="s">
        <v>1448</v>
      </c>
      <c r="AD155" s="77" t="s">
        <v>1448</v>
      </c>
      <c r="AE155" s="77" t="s">
        <v>1449</v>
      </c>
      <c r="AF155" s="77" t="s">
        <v>1448</v>
      </c>
      <c r="AG155" s="77" t="s">
        <v>1448</v>
      </c>
      <c r="AH155" s="77" t="s">
        <v>1448</v>
      </c>
      <c r="AI155" s="77" t="s">
        <v>1448</v>
      </c>
      <c r="AJ155" s="77" t="s">
        <v>1448</v>
      </c>
      <c r="AK155" s="77" t="s">
        <v>1448</v>
      </c>
      <c r="AL155" s="77" t="s">
        <v>1448</v>
      </c>
      <c r="AM155" s="77" t="s">
        <v>1448</v>
      </c>
      <c r="AN155" s="77" t="s">
        <v>1448</v>
      </c>
      <c r="AO155" s="77" t="s">
        <v>1448</v>
      </c>
      <c r="AP155" s="77" t="s">
        <v>1448</v>
      </c>
      <c r="AQ155" s="77" t="s">
        <v>1448</v>
      </c>
      <c r="AR155" s="77" t="s">
        <v>1449</v>
      </c>
      <c r="AS155" s="77" t="s">
        <v>1448</v>
      </c>
      <c r="AT155" s="77" t="s">
        <v>1448</v>
      </c>
      <c r="AU155" s="77" t="s">
        <v>1448</v>
      </c>
      <c r="AV155" s="77" t="s">
        <v>1448</v>
      </c>
      <c r="AW155" s="77" t="s">
        <v>1448</v>
      </c>
      <c r="AX155" s="77" t="s">
        <v>1448</v>
      </c>
      <c r="AY155" s="77" t="s">
        <v>1448</v>
      </c>
      <c r="AZ155" s="77" t="s">
        <v>1448</v>
      </c>
      <c r="BA155" s="77" t="s">
        <v>1448</v>
      </c>
      <c r="BB155" s="77" t="s">
        <v>1448</v>
      </c>
      <c r="BC155" s="79" t="s">
        <v>2424</v>
      </c>
      <c r="BD155" s="79" t="s">
        <v>2426</v>
      </c>
      <c r="BE155" s="79" t="s">
        <v>2427</v>
      </c>
      <c r="BF155" s="79" t="s">
        <v>2428</v>
      </c>
      <c r="BO155" s="77" t="b">
        <v>0</v>
      </c>
      <c r="BV155" s="77" t="str">
        <f>A155 &amp; "-" &amp; TEXT(B155, "jj/mm/aaaa") &amp; "-" &amp; COUNTIF($A$2:A307, A155)</f>
        <v>AE197SP-17/05/2024-1</v>
      </c>
      <c r="BX155" s="77" t="str">
        <v>FD202QT</v>
      </c>
    </row>
    <row r="156" spans="1:76" x14ac:dyDescent="0.2">
      <c r="A156" s="77" t="s">
        <v>2429</v>
      </c>
      <c r="B156" s="88">
        <v>45433.388275462959</v>
      </c>
      <c r="C156" s="77" t="s">
        <v>2430</v>
      </c>
      <c r="D156" s="77" t="s">
        <v>959</v>
      </c>
      <c r="E156" s="77" t="b">
        <v>0</v>
      </c>
      <c r="F156" s="77" t="b">
        <v>0</v>
      </c>
      <c r="G156" s="77" t="b">
        <v>0</v>
      </c>
      <c r="H156" s="77" t="b">
        <v>0</v>
      </c>
      <c r="I156" s="77" t="s">
        <v>2435</v>
      </c>
      <c r="K156" s="77" t="s">
        <v>2434</v>
      </c>
      <c r="L156" s="77" t="s">
        <v>111</v>
      </c>
      <c r="M156" s="77">
        <v>308</v>
      </c>
      <c r="N156" s="86">
        <v>194990</v>
      </c>
      <c r="BC156" s="79" t="s">
        <v>2436</v>
      </c>
      <c r="BE156" s="79" t="s">
        <v>2437</v>
      </c>
      <c r="BF156" s="79" t="s">
        <v>2438</v>
      </c>
      <c r="BG156" s="79" t="s">
        <v>2439</v>
      </c>
      <c r="BI156" s="79" t="s">
        <v>2440</v>
      </c>
      <c r="BJ156" s="79" t="s">
        <v>2441</v>
      </c>
      <c r="BO156" s="77" t="b">
        <v>0</v>
      </c>
      <c r="BV156" s="77" t="str">
        <f>A156 &amp; "-" &amp; TEXT(B156, "jj/mm/aaaa") &amp; "-" &amp; COUNTIF($A$2:A309, A156)</f>
        <v>DT530LX-21/05/2024-1</v>
      </c>
      <c r="BX156" s="77" t="str">
        <v>FD444PW</v>
      </c>
    </row>
    <row r="157" spans="1:76" x14ac:dyDescent="0.2">
      <c r="A157" s="77" t="s">
        <v>787</v>
      </c>
      <c r="B157" s="88">
        <v>45433.713576388887</v>
      </c>
      <c r="C157" s="77" t="s">
        <v>425</v>
      </c>
      <c r="E157" s="77" t="b">
        <v>1</v>
      </c>
      <c r="F157" s="77" t="b">
        <v>1</v>
      </c>
      <c r="G157" s="77" t="b">
        <v>1</v>
      </c>
      <c r="H157" s="77" t="b">
        <v>1</v>
      </c>
      <c r="I157" s="77" t="s">
        <v>238</v>
      </c>
      <c r="J157" s="77">
        <v>34</v>
      </c>
      <c r="K157" s="77" t="s">
        <v>114</v>
      </c>
      <c r="L157" s="77" t="s">
        <v>111</v>
      </c>
      <c r="M157" s="77" t="s">
        <v>1365</v>
      </c>
      <c r="N157" s="86">
        <v>103327</v>
      </c>
      <c r="BC157" s="79" t="s">
        <v>2442</v>
      </c>
      <c r="BO157" s="77" t="b">
        <v>0</v>
      </c>
      <c r="BV157" s="77" t="str">
        <f>A157 &amp; "-" &amp; TEXT(B157, "jj/mm/aaaa") &amp; "-" &amp; COUNTIF($A$2:A311, A157)</f>
        <v>DR706VE-21/05/2024-1</v>
      </c>
      <c r="BX157" s="77" t="str">
        <v>FE299SW</v>
      </c>
    </row>
    <row r="158" spans="1:76" x14ac:dyDescent="0.2">
      <c r="A158" s="77" t="s">
        <v>778</v>
      </c>
      <c r="B158" s="88">
        <v>45434.367800925924</v>
      </c>
      <c r="C158" s="77" t="s">
        <v>194</v>
      </c>
      <c r="D158" s="77" t="s">
        <v>957</v>
      </c>
      <c r="E158" s="77" t="b">
        <v>1</v>
      </c>
      <c r="F158" s="77" t="b">
        <v>1</v>
      </c>
      <c r="G158" s="77" t="b">
        <v>1</v>
      </c>
      <c r="H158" s="77" t="b">
        <v>1</v>
      </c>
      <c r="I158" s="77" t="s">
        <v>780</v>
      </c>
      <c r="J158" s="77">
        <v>23</v>
      </c>
      <c r="K158" s="77" t="s">
        <v>779</v>
      </c>
      <c r="L158" s="77" t="s">
        <v>781</v>
      </c>
      <c r="M158" s="77" t="s">
        <v>782</v>
      </c>
      <c r="N158" s="86">
        <v>118746</v>
      </c>
      <c r="O158" s="77" t="s">
        <v>2463</v>
      </c>
      <c r="P158" s="77" t="s">
        <v>1448</v>
      </c>
      <c r="Q158" s="77" t="s">
        <v>1448</v>
      </c>
      <c r="R158" s="77" t="s">
        <v>1448</v>
      </c>
      <c r="S158" s="77" t="s">
        <v>1448</v>
      </c>
      <c r="T158" s="77" t="s">
        <v>1448</v>
      </c>
      <c r="U158" s="77" t="s">
        <v>1448</v>
      </c>
      <c r="V158" s="77" t="s">
        <v>1448</v>
      </c>
      <c r="W158" s="77" t="s">
        <v>1448</v>
      </c>
      <c r="X158" s="77" t="s">
        <v>1448</v>
      </c>
      <c r="Y158" s="77" t="s">
        <v>1448</v>
      </c>
      <c r="Z158" s="77" t="s">
        <v>1449</v>
      </c>
      <c r="AA158" s="77" t="s">
        <v>1448</v>
      </c>
      <c r="AB158" s="77" t="s">
        <v>1448</v>
      </c>
      <c r="AC158" s="77" t="s">
        <v>1448</v>
      </c>
      <c r="AD158" s="77" t="s">
        <v>1448</v>
      </c>
      <c r="AE158" s="77" t="s">
        <v>1448</v>
      </c>
      <c r="AF158" s="77" t="s">
        <v>1448</v>
      </c>
      <c r="AG158" s="77" t="s">
        <v>1448</v>
      </c>
      <c r="AH158" s="77" t="s">
        <v>1448</v>
      </c>
      <c r="AI158" s="77" t="s">
        <v>1448</v>
      </c>
      <c r="AJ158" s="77" t="s">
        <v>1448</v>
      </c>
      <c r="AK158" s="77" t="s">
        <v>1448</v>
      </c>
      <c r="AL158" s="77" t="s">
        <v>1448</v>
      </c>
      <c r="AM158" s="77" t="s">
        <v>1449</v>
      </c>
      <c r="AN158" s="77" t="s">
        <v>1449</v>
      </c>
      <c r="AO158" s="77" t="s">
        <v>1448</v>
      </c>
      <c r="AP158" s="77" t="s">
        <v>1448</v>
      </c>
      <c r="AQ158" s="77" t="s">
        <v>1448</v>
      </c>
      <c r="AR158" s="77" t="s">
        <v>1448</v>
      </c>
      <c r="AS158" s="77" t="s">
        <v>1448</v>
      </c>
      <c r="AT158" s="77" t="s">
        <v>1448</v>
      </c>
      <c r="AU158" s="77" t="s">
        <v>1448</v>
      </c>
      <c r="AV158" s="77" t="s">
        <v>1448</v>
      </c>
      <c r="AW158" s="77" t="s">
        <v>1448</v>
      </c>
      <c r="AX158" s="77" t="s">
        <v>1448</v>
      </c>
      <c r="AY158" s="77" t="s">
        <v>1449</v>
      </c>
      <c r="AZ158" s="77" t="s">
        <v>1448</v>
      </c>
      <c r="BA158" s="77" t="s">
        <v>1448</v>
      </c>
      <c r="BB158" s="77" t="s">
        <v>1448</v>
      </c>
      <c r="BC158" s="79" t="s">
        <v>2464</v>
      </c>
      <c r="BD158" s="79" t="s">
        <v>2465</v>
      </c>
      <c r="BE158" s="79" t="s">
        <v>2468</v>
      </c>
      <c r="BF158" s="79" t="s">
        <v>2466</v>
      </c>
      <c r="BG158" s="79" t="s">
        <v>2469</v>
      </c>
      <c r="BH158" s="79" t="s">
        <v>2467</v>
      </c>
      <c r="BO158" s="77" t="b">
        <v>0</v>
      </c>
      <c r="BV158" s="77" t="str">
        <f>A158 &amp; "-" &amp; TEXT(B158, "jj/mm/aaaa") &amp; "-" &amp; COUNTIF($A$2:A313, A158)</f>
        <v>GG671XZ-22/05/2024-1</v>
      </c>
      <c r="BX158" s="77" t="str">
        <v>FE944RD</v>
      </c>
    </row>
    <row r="159" spans="1:76" x14ac:dyDescent="0.2">
      <c r="A159" s="77" t="s">
        <v>2446</v>
      </c>
      <c r="B159" s="88">
        <v>45434.40997685185</v>
      </c>
      <c r="C159" s="77" t="s">
        <v>2447</v>
      </c>
      <c r="D159" s="77" t="s">
        <v>957</v>
      </c>
      <c r="E159" s="77" t="b">
        <v>1</v>
      </c>
      <c r="F159" s="77" t="b">
        <v>0</v>
      </c>
      <c r="G159" s="77" t="b">
        <v>0</v>
      </c>
      <c r="H159" s="77" t="b">
        <v>0</v>
      </c>
      <c r="I159" s="77" t="s">
        <v>2452</v>
      </c>
      <c r="K159" s="77" t="s">
        <v>72</v>
      </c>
      <c r="L159" s="77" t="s">
        <v>2271</v>
      </c>
      <c r="M159" s="77" t="s">
        <v>2448</v>
      </c>
      <c r="N159" s="86">
        <v>206216</v>
      </c>
      <c r="BO159" s="77" t="b">
        <v>0</v>
      </c>
      <c r="BV159" s="77" t="str">
        <f>A159 &amp; "-" &amp; TEXT(B159, "jj/mm/aaaa") &amp; "-" &amp; COUNTIF($A$2:A315, A159)</f>
        <v>DV858SJ-22/05/2024-1</v>
      </c>
      <c r="BX159" s="77" t="str">
        <v>FF213YX</v>
      </c>
    </row>
    <row r="160" spans="1:76" x14ac:dyDescent="0.2">
      <c r="A160" s="77" t="s">
        <v>2453</v>
      </c>
      <c r="B160" s="88">
        <v>45434.522488425922</v>
      </c>
      <c r="C160" s="77" t="s">
        <v>392</v>
      </c>
      <c r="D160" s="77" t="s">
        <v>957</v>
      </c>
      <c r="E160" s="77" t="b">
        <v>1</v>
      </c>
      <c r="F160" s="77" t="b">
        <v>1</v>
      </c>
      <c r="G160" s="77" t="b">
        <v>1</v>
      </c>
      <c r="H160" s="77" t="b">
        <v>0</v>
      </c>
      <c r="I160" s="77" t="s">
        <v>1725</v>
      </c>
      <c r="J160" s="77" t="s">
        <v>503</v>
      </c>
      <c r="K160" s="77" t="s">
        <v>2456</v>
      </c>
      <c r="L160" s="77" t="s">
        <v>173</v>
      </c>
      <c r="M160" s="77" t="s">
        <v>504</v>
      </c>
      <c r="N160" s="86">
        <v>112361</v>
      </c>
      <c r="P160" s="77" t="s">
        <v>1448</v>
      </c>
      <c r="Q160" s="77" t="s">
        <v>1448</v>
      </c>
      <c r="R160" s="77" t="s">
        <v>1448</v>
      </c>
      <c r="S160" s="77" t="s">
        <v>1448</v>
      </c>
      <c r="T160" s="77" t="s">
        <v>1448</v>
      </c>
      <c r="U160" s="77" t="s">
        <v>1448</v>
      </c>
      <c r="V160" s="77" t="s">
        <v>1448</v>
      </c>
      <c r="W160" s="77" t="s">
        <v>1448</v>
      </c>
      <c r="X160" s="77" t="s">
        <v>1448</v>
      </c>
      <c r="Y160" s="77" t="s">
        <v>1448</v>
      </c>
      <c r="Z160" s="77" t="s">
        <v>1448</v>
      </c>
      <c r="AA160" s="77" t="s">
        <v>1449</v>
      </c>
      <c r="AB160" s="77" t="s">
        <v>1448</v>
      </c>
      <c r="AC160" s="77" t="s">
        <v>1448</v>
      </c>
      <c r="AD160" s="77" t="s">
        <v>1448</v>
      </c>
      <c r="AE160" s="77" t="s">
        <v>1448</v>
      </c>
      <c r="AF160" s="77" t="s">
        <v>1448</v>
      </c>
      <c r="AG160" s="77" t="s">
        <v>1448</v>
      </c>
      <c r="AH160" s="77" t="s">
        <v>1448</v>
      </c>
      <c r="AI160" s="77" t="s">
        <v>1448</v>
      </c>
      <c r="AJ160" s="77" t="s">
        <v>1449</v>
      </c>
      <c r="AK160" s="77" t="s">
        <v>1448</v>
      </c>
      <c r="AL160" s="77" t="s">
        <v>1448</v>
      </c>
      <c r="AM160" s="77" t="s">
        <v>1448</v>
      </c>
      <c r="AN160" s="77" t="s">
        <v>1448</v>
      </c>
      <c r="AO160" s="77" t="s">
        <v>1448</v>
      </c>
      <c r="AP160" s="77" t="s">
        <v>1448</v>
      </c>
      <c r="AQ160" s="77" t="s">
        <v>1448</v>
      </c>
      <c r="AR160" s="77" t="s">
        <v>1448</v>
      </c>
      <c r="AS160" s="77" t="s">
        <v>1448</v>
      </c>
      <c r="AT160" s="77" t="s">
        <v>1448</v>
      </c>
      <c r="AU160" s="77" t="s">
        <v>1448</v>
      </c>
      <c r="AV160" s="77" t="s">
        <v>1448</v>
      </c>
      <c r="AW160" s="77" t="s">
        <v>1448</v>
      </c>
      <c r="AX160" s="77" t="s">
        <v>1448</v>
      </c>
      <c r="AY160" s="77" t="s">
        <v>1448</v>
      </c>
      <c r="AZ160" s="77" t="s">
        <v>1448</v>
      </c>
      <c r="BA160" s="77" t="s">
        <v>1448</v>
      </c>
      <c r="BB160" s="77" t="s">
        <v>1448</v>
      </c>
      <c r="BC160" s="79" t="s">
        <v>2562</v>
      </c>
      <c r="BD160" s="79" t="s">
        <v>2563</v>
      </c>
      <c r="BO160" s="77" t="b">
        <v>0</v>
      </c>
      <c r="BV160" s="77" t="str">
        <f>A160 &amp; "-" &amp; TEXT(B160, "jj/mm/aaaa") &amp; "-" &amp; COUNTIF($A$2:A317, A160)</f>
        <v>EP834KP-22/05/2024-1</v>
      </c>
      <c r="BX160" s="77" t="str">
        <v>FF276PH</v>
      </c>
    </row>
    <row r="161" spans="1:76" x14ac:dyDescent="0.2">
      <c r="A161" s="77" t="s">
        <v>2457</v>
      </c>
      <c r="B161" s="88">
        <v>45434.654745370368</v>
      </c>
      <c r="C161" s="77" t="s">
        <v>2458</v>
      </c>
      <c r="D161" s="77" t="s">
        <v>957</v>
      </c>
      <c r="E161" s="77" t="b">
        <v>0</v>
      </c>
      <c r="F161" s="77" t="b">
        <v>0</v>
      </c>
      <c r="G161" s="77" t="b">
        <v>0</v>
      </c>
      <c r="H161" s="77" t="b">
        <v>0</v>
      </c>
      <c r="I161" s="77" t="s">
        <v>1707</v>
      </c>
      <c r="J161" s="77" t="s">
        <v>1104</v>
      </c>
      <c r="K161" s="77" t="s">
        <v>114</v>
      </c>
      <c r="L161" s="77" t="s">
        <v>139</v>
      </c>
      <c r="M161" s="77" t="s">
        <v>2459</v>
      </c>
      <c r="N161" s="86">
        <v>175679</v>
      </c>
      <c r="BC161" s="79" t="s">
        <v>2462</v>
      </c>
      <c r="BO161" s="77" t="b">
        <v>0</v>
      </c>
      <c r="BV161" s="77" t="str">
        <f>A161 &amp; "-" &amp; TEXT(B161, "jj/mm/aaaa") &amp; "-" &amp; COUNTIF($A$2:A319, A161)</f>
        <v>AJ362ZR-22/05/2024-1</v>
      </c>
      <c r="BX161" s="77" t="str">
        <v>FF869WY</v>
      </c>
    </row>
    <row r="162" spans="1:76" x14ac:dyDescent="0.2">
      <c r="A162" s="77" t="s">
        <v>2470</v>
      </c>
      <c r="B162" s="88">
        <v>45435.358124999999</v>
      </c>
      <c r="C162" s="77" t="s">
        <v>2471</v>
      </c>
      <c r="D162" s="77" t="s">
        <v>957</v>
      </c>
      <c r="E162" s="77" t="b">
        <v>0</v>
      </c>
      <c r="F162" s="77" t="b">
        <v>0</v>
      </c>
      <c r="G162" s="77" t="b">
        <v>0</v>
      </c>
      <c r="H162" s="77" t="b">
        <v>0</v>
      </c>
      <c r="I162" s="77" t="s">
        <v>82</v>
      </c>
      <c r="J162" s="77" t="s">
        <v>1136</v>
      </c>
      <c r="K162" s="77" t="s">
        <v>231</v>
      </c>
      <c r="L162" s="77" t="s">
        <v>232</v>
      </c>
      <c r="M162" s="77" t="s">
        <v>2473</v>
      </c>
      <c r="N162" s="86">
        <v>191771</v>
      </c>
      <c r="O162" s="83">
        <v>46296</v>
      </c>
      <c r="BC162" s="79" t="s">
        <v>2529</v>
      </c>
      <c r="BD162" s="79" t="s">
        <v>2530</v>
      </c>
      <c r="BE162" s="79" t="s">
        <v>2531</v>
      </c>
      <c r="BF162" s="79" t="s">
        <v>2532</v>
      </c>
      <c r="BG162" s="79" t="s">
        <v>2533</v>
      </c>
      <c r="BO162" s="77" t="b">
        <v>0</v>
      </c>
      <c r="BV162" s="77" t="str">
        <f>A162 &amp; "-" &amp; TEXT(B162, "jj/mm/aaaa") &amp; "-" &amp; COUNTIF($A$2:A321, A162)</f>
        <v>DJ671VQ-23/05/2024-1</v>
      </c>
      <c r="BX162" s="77" t="str">
        <v>FG040RS</v>
      </c>
    </row>
    <row r="163" spans="1:76" x14ac:dyDescent="0.2">
      <c r="A163" s="77" t="s">
        <v>470</v>
      </c>
      <c r="B163" s="88">
        <v>45435.380659722221</v>
      </c>
      <c r="C163" s="77" t="s">
        <v>471</v>
      </c>
      <c r="D163" s="77" t="s">
        <v>957</v>
      </c>
      <c r="E163" s="77" t="b">
        <v>1</v>
      </c>
      <c r="F163" s="77" t="b">
        <v>1</v>
      </c>
      <c r="G163" s="77" t="b">
        <v>1</v>
      </c>
      <c r="H163" s="77" t="b">
        <v>1</v>
      </c>
      <c r="I163" s="77" t="s">
        <v>473</v>
      </c>
      <c r="J163" s="77">
        <v>34</v>
      </c>
      <c r="K163" s="77" t="s">
        <v>472</v>
      </c>
      <c r="L163" s="77" t="s">
        <v>139</v>
      </c>
      <c r="M163" s="77" t="s">
        <v>239</v>
      </c>
      <c r="N163" s="86">
        <v>141127</v>
      </c>
      <c r="Q163" s="77" t="s">
        <v>1448</v>
      </c>
      <c r="R163" s="77" t="s">
        <v>1448</v>
      </c>
      <c r="S163" s="77" t="s">
        <v>1448</v>
      </c>
      <c r="T163" s="77" t="s">
        <v>1448</v>
      </c>
      <c r="U163" s="77" t="s">
        <v>1448</v>
      </c>
      <c r="V163" s="77" t="s">
        <v>1448</v>
      </c>
      <c r="W163" s="77" t="s">
        <v>1448</v>
      </c>
      <c r="X163" s="77" t="s">
        <v>1449</v>
      </c>
      <c r="Y163" s="77" t="s">
        <v>1448</v>
      </c>
      <c r="Z163" s="77" t="s">
        <v>1448</v>
      </c>
      <c r="AA163" s="77" t="s">
        <v>1448</v>
      </c>
      <c r="AB163" s="77" t="s">
        <v>1448</v>
      </c>
      <c r="AC163" s="77" t="s">
        <v>1448</v>
      </c>
      <c r="AD163" s="77" t="s">
        <v>1448</v>
      </c>
      <c r="AE163" s="77" t="s">
        <v>1448</v>
      </c>
      <c r="AF163" s="77" t="s">
        <v>1448</v>
      </c>
      <c r="AG163" s="77" t="s">
        <v>1448</v>
      </c>
      <c r="AH163" s="77" t="s">
        <v>1448</v>
      </c>
      <c r="AI163" s="77" t="s">
        <v>1448</v>
      </c>
      <c r="AJ163" s="77" t="s">
        <v>1448</v>
      </c>
      <c r="AK163" s="77" t="s">
        <v>1448</v>
      </c>
      <c r="AL163" s="77" t="s">
        <v>1448</v>
      </c>
      <c r="AM163" s="77" t="s">
        <v>1449</v>
      </c>
      <c r="AN163" s="77" t="s">
        <v>1449</v>
      </c>
      <c r="AO163" s="77" t="s">
        <v>1448</v>
      </c>
      <c r="AP163" s="77" t="s">
        <v>1448</v>
      </c>
      <c r="AQ163" s="77" t="s">
        <v>1448</v>
      </c>
      <c r="AR163" s="77" t="s">
        <v>1448</v>
      </c>
      <c r="AS163" s="77" t="s">
        <v>1449</v>
      </c>
      <c r="AT163" s="77" t="s">
        <v>1448</v>
      </c>
      <c r="AU163" s="77" t="s">
        <v>1448</v>
      </c>
      <c r="AV163" s="77" t="s">
        <v>1448</v>
      </c>
      <c r="AW163" s="77" t="s">
        <v>1448</v>
      </c>
      <c r="AX163" s="77" t="s">
        <v>1448</v>
      </c>
      <c r="AY163" s="77" t="s">
        <v>1448</v>
      </c>
      <c r="AZ163" s="77" t="s">
        <v>1448</v>
      </c>
      <c r="BA163" s="77" t="s">
        <v>1448</v>
      </c>
      <c r="BB163" s="77" t="s">
        <v>1448</v>
      </c>
      <c r="BC163" s="79" t="s">
        <v>2481</v>
      </c>
      <c r="BD163" s="79" t="s">
        <v>2482</v>
      </c>
      <c r="BE163" s="79" t="s">
        <v>2480</v>
      </c>
      <c r="BF163" s="79" t="s">
        <v>2483</v>
      </c>
      <c r="BO163" s="77" t="b">
        <v>0</v>
      </c>
      <c r="BV163" s="77" t="str">
        <f>A163 &amp; "-" &amp; TEXT(B163, "jj/mm/aaaa") &amp; "-" &amp; COUNTIF($A$2:A323, A163)</f>
        <v>DZ014VV-23/05/2024-1</v>
      </c>
      <c r="BX163" s="77" t="str">
        <v>FG127CT</v>
      </c>
    </row>
    <row r="164" spans="1:76" x14ac:dyDescent="0.2">
      <c r="A164" s="77" t="s">
        <v>333</v>
      </c>
      <c r="B164" s="88">
        <v>45436.452175925922</v>
      </c>
      <c r="C164" s="77" t="s">
        <v>334</v>
      </c>
      <c r="D164" s="77" t="s">
        <v>957</v>
      </c>
      <c r="E164" s="77" t="b">
        <v>0</v>
      </c>
      <c r="F164" s="77" t="b">
        <v>0</v>
      </c>
      <c r="G164" s="77" t="b">
        <v>0</v>
      </c>
      <c r="H164" s="77" t="b">
        <v>0</v>
      </c>
      <c r="I164" s="77" t="s">
        <v>78</v>
      </c>
      <c r="J164" s="77" t="s">
        <v>1611</v>
      </c>
      <c r="K164" s="77" t="s">
        <v>335</v>
      </c>
      <c r="L164" s="77" t="s">
        <v>128</v>
      </c>
      <c r="M164" s="77" t="s">
        <v>336</v>
      </c>
      <c r="N164" s="86">
        <v>86285</v>
      </c>
      <c r="BC164" s="79" t="s">
        <v>2487</v>
      </c>
      <c r="BO164" s="77" t="b">
        <v>0</v>
      </c>
      <c r="BV164" s="77" t="str">
        <f>A164 &amp; "-" &amp; TEXT(B164, "jj/mm/aaaa") &amp; "-" &amp; COUNTIF($A$2:A325, A164)</f>
        <v>CY047SP-24/05/2024-1</v>
      </c>
      <c r="BX164" s="77" t="str">
        <v>FG586XK</v>
      </c>
    </row>
    <row r="165" spans="1:76" x14ac:dyDescent="0.2">
      <c r="A165" s="77" t="s">
        <v>452</v>
      </c>
      <c r="B165" s="88">
        <v>45436.486574074072</v>
      </c>
      <c r="C165" s="77" t="s">
        <v>194</v>
      </c>
      <c r="D165" s="77" t="s">
        <v>957</v>
      </c>
      <c r="E165" s="77" t="b">
        <v>1</v>
      </c>
      <c r="F165" s="77" t="b">
        <v>0</v>
      </c>
      <c r="G165" s="77" t="b">
        <v>0</v>
      </c>
      <c r="H165" s="77" t="b">
        <v>0</v>
      </c>
      <c r="I165" s="77" t="s">
        <v>2489</v>
      </c>
      <c r="J165" s="77" t="s">
        <v>1173</v>
      </c>
      <c r="K165" s="77" t="s">
        <v>114</v>
      </c>
      <c r="L165" s="77" t="s">
        <v>128</v>
      </c>
      <c r="M165" s="77" t="s">
        <v>453</v>
      </c>
      <c r="N165" s="86">
        <v>126509</v>
      </c>
      <c r="O165" s="77" t="s">
        <v>2496</v>
      </c>
      <c r="Q165" s="77" t="s">
        <v>1448</v>
      </c>
      <c r="R165" s="77" t="s">
        <v>1448</v>
      </c>
      <c r="S165" s="77" t="s">
        <v>1448</v>
      </c>
      <c r="T165" s="77" t="s">
        <v>1448</v>
      </c>
      <c r="U165" s="77" t="s">
        <v>1448</v>
      </c>
      <c r="V165" s="77" t="s">
        <v>1448</v>
      </c>
      <c r="W165" s="77" t="s">
        <v>1448</v>
      </c>
      <c r="X165" s="77" t="s">
        <v>1448</v>
      </c>
      <c r="Y165" s="77" t="s">
        <v>1448</v>
      </c>
      <c r="Z165" s="77" t="s">
        <v>1448</v>
      </c>
      <c r="AA165" s="77" t="s">
        <v>1448</v>
      </c>
      <c r="AB165" s="77" t="s">
        <v>1448</v>
      </c>
      <c r="AC165" s="77" t="s">
        <v>1448</v>
      </c>
      <c r="AD165" s="77" t="s">
        <v>1448</v>
      </c>
      <c r="AE165" s="77" t="s">
        <v>1448</v>
      </c>
      <c r="AF165" s="77" t="s">
        <v>1448</v>
      </c>
      <c r="AG165" s="77" t="s">
        <v>1448</v>
      </c>
      <c r="AH165" s="77" t="s">
        <v>1448</v>
      </c>
      <c r="AI165" s="77" t="s">
        <v>1448</v>
      </c>
      <c r="AJ165" s="77" t="s">
        <v>1448</v>
      </c>
      <c r="AK165" s="77" t="s">
        <v>1448</v>
      </c>
      <c r="AL165" s="77" t="s">
        <v>1448</v>
      </c>
      <c r="AM165" s="77" t="s">
        <v>1448</v>
      </c>
      <c r="AN165" s="77" t="s">
        <v>1448</v>
      </c>
      <c r="AO165" s="77" t="s">
        <v>1448</v>
      </c>
      <c r="AP165" s="77" t="s">
        <v>1448</v>
      </c>
      <c r="AQ165" s="77" t="s">
        <v>1448</v>
      </c>
      <c r="AR165" s="77" t="s">
        <v>1448</v>
      </c>
      <c r="AS165" s="77" t="s">
        <v>1448</v>
      </c>
      <c r="AT165" s="77" t="s">
        <v>1448</v>
      </c>
      <c r="AU165" s="77" t="s">
        <v>1448</v>
      </c>
      <c r="AV165" s="77" t="s">
        <v>1448</v>
      </c>
      <c r="AW165" s="77" t="s">
        <v>1448</v>
      </c>
      <c r="AX165" s="77" t="s">
        <v>1448</v>
      </c>
      <c r="AY165" s="77" t="s">
        <v>1448</v>
      </c>
      <c r="AZ165" s="77" t="s">
        <v>1448</v>
      </c>
      <c r="BA165" s="77" t="s">
        <v>1448</v>
      </c>
      <c r="BB165" s="77" t="s">
        <v>1448</v>
      </c>
      <c r="BC165" s="79" t="s">
        <v>2534</v>
      </c>
      <c r="BD165" s="79" t="s">
        <v>2535</v>
      </c>
      <c r="BO165" s="77" t="b">
        <v>0</v>
      </c>
      <c r="BV165" s="77" t="str">
        <f>A165 &amp; "-" &amp; TEXT(B165, "jj/mm/aaaa") &amp; "-" &amp; COUNTIF($A$2:A327, A165)</f>
        <v>DV897TS-24/05/2024-2</v>
      </c>
      <c r="BX165" s="77" t="str">
        <v>FG912CT</v>
      </c>
    </row>
    <row r="166" spans="1:76" x14ac:dyDescent="0.2">
      <c r="A166" s="77" t="s">
        <v>2490</v>
      </c>
      <c r="B166" s="88">
        <v>45436.490682870368</v>
      </c>
      <c r="C166" s="77" t="s">
        <v>2491</v>
      </c>
      <c r="D166" s="77" t="s">
        <v>957</v>
      </c>
      <c r="E166" s="77" t="b">
        <v>0</v>
      </c>
      <c r="F166" s="77" t="b">
        <v>0</v>
      </c>
      <c r="G166" s="77" t="b">
        <v>0</v>
      </c>
      <c r="H166" s="77" t="b">
        <v>0</v>
      </c>
      <c r="I166" s="77" t="s">
        <v>1725</v>
      </c>
      <c r="J166" s="77" t="s">
        <v>1869</v>
      </c>
      <c r="K166" s="77" t="s">
        <v>158</v>
      </c>
      <c r="L166" s="77" t="s">
        <v>139</v>
      </c>
      <c r="M166" s="77" t="s">
        <v>2493</v>
      </c>
      <c r="N166" s="86">
        <v>109870</v>
      </c>
      <c r="BC166" s="79" t="s">
        <v>2495</v>
      </c>
      <c r="BO166" s="77" t="b">
        <v>0</v>
      </c>
      <c r="BV166" s="77" t="str">
        <f>A166 &amp; "-" &amp; TEXT(B166, "jj/mm/aaaa") &amp; "-" &amp; COUNTIF($A$2:A329, A166)</f>
        <v>BE248LG-24/05/2024-1</v>
      </c>
      <c r="BX166" s="77" t="str">
        <v>FG927CT</v>
      </c>
    </row>
    <row r="167" spans="1:76" x14ac:dyDescent="0.2">
      <c r="A167" s="77" t="s">
        <v>2497</v>
      </c>
      <c r="B167" s="88">
        <v>45436.675439814811</v>
      </c>
      <c r="C167" s="77" t="s">
        <v>2498</v>
      </c>
      <c r="E167" s="77" t="b">
        <v>0</v>
      </c>
      <c r="F167" s="77" t="b">
        <v>0</v>
      </c>
      <c r="G167" s="77" t="b">
        <v>0</v>
      </c>
      <c r="H167" s="77" t="b">
        <v>0</v>
      </c>
      <c r="I167" s="77" t="s">
        <v>2504</v>
      </c>
      <c r="J167" s="77" t="s">
        <v>1484</v>
      </c>
      <c r="K167" s="77" t="s">
        <v>2503</v>
      </c>
      <c r="L167" s="77" t="s">
        <v>2499</v>
      </c>
      <c r="M167" s="77" t="s">
        <v>268</v>
      </c>
      <c r="BC167" s="79" t="s">
        <v>2505</v>
      </c>
      <c r="BO167" s="77" t="b">
        <v>0</v>
      </c>
      <c r="BV167" s="77" t="str">
        <f>A167 &amp; "-" &amp; TEXT(B167, "jj/mm/aaaa") &amp; "-" &amp; COUNTIF($A$2:A331, A167)</f>
        <v>BT878BQ-24/05/2024-1</v>
      </c>
      <c r="BX167" s="77" t="str">
        <v>FG965CT</v>
      </c>
    </row>
    <row r="168" spans="1:76" x14ac:dyDescent="0.2">
      <c r="A168" s="77" t="s">
        <v>309</v>
      </c>
      <c r="B168" s="88">
        <v>45436.687824074077</v>
      </c>
      <c r="C168" s="77" t="s">
        <v>310</v>
      </c>
      <c r="D168" s="77" t="s">
        <v>957</v>
      </c>
      <c r="E168" s="77" t="b">
        <v>1</v>
      </c>
      <c r="F168" s="77" t="b">
        <v>1</v>
      </c>
      <c r="G168" s="77" t="b">
        <v>1</v>
      </c>
      <c r="H168" s="77" t="b">
        <v>1</v>
      </c>
      <c r="I168" s="77" t="s">
        <v>257</v>
      </c>
      <c r="J168" s="77" t="s">
        <v>2060</v>
      </c>
      <c r="K168" s="77" t="s">
        <v>256</v>
      </c>
      <c r="L168" s="77" t="s">
        <v>131</v>
      </c>
      <c r="M168" s="77" t="s">
        <v>258</v>
      </c>
      <c r="N168" s="86">
        <v>170844</v>
      </c>
      <c r="O168" s="77" t="s">
        <v>2521</v>
      </c>
      <c r="P168" s="77" t="s">
        <v>1448</v>
      </c>
      <c r="Q168" s="77" t="s">
        <v>1448</v>
      </c>
      <c r="R168" s="77" t="s">
        <v>1448</v>
      </c>
      <c r="S168" s="77" t="s">
        <v>1448</v>
      </c>
      <c r="T168" s="77" t="s">
        <v>1448</v>
      </c>
      <c r="U168" s="77" t="s">
        <v>1448</v>
      </c>
      <c r="V168" s="77" t="s">
        <v>1448</v>
      </c>
      <c r="W168" s="77" t="s">
        <v>1448</v>
      </c>
      <c r="X168" s="77" t="s">
        <v>1448</v>
      </c>
      <c r="Y168" s="77" t="s">
        <v>1448</v>
      </c>
      <c r="Z168" s="77" t="s">
        <v>1448</v>
      </c>
      <c r="AA168" s="77" t="s">
        <v>1448</v>
      </c>
      <c r="AB168" s="77" t="s">
        <v>1448</v>
      </c>
      <c r="AC168" s="77" t="s">
        <v>1448</v>
      </c>
      <c r="AD168" s="77" t="s">
        <v>1448</v>
      </c>
      <c r="AE168" s="77" t="s">
        <v>1448</v>
      </c>
      <c r="AF168" s="77" t="s">
        <v>1448</v>
      </c>
      <c r="AG168" s="77" t="s">
        <v>1448</v>
      </c>
      <c r="AH168" s="77" t="s">
        <v>1448</v>
      </c>
      <c r="AI168" s="77" t="s">
        <v>1448</v>
      </c>
      <c r="AJ168" s="77" t="s">
        <v>1448</v>
      </c>
      <c r="AK168" s="77" t="s">
        <v>1448</v>
      </c>
      <c r="AL168" s="77" t="s">
        <v>1449</v>
      </c>
      <c r="AM168" s="77" t="s">
        <v>1448</v>
      </c>
      <c r="AN168" s="77" t="s">
        <v>1448</v>
      </c>
      <c r="AO168" s="77" t="s">
        <v>1448</v>
      </c>
      <c r="AQ168" s="77" t="s">
        <v>1448</v>
      </c>
      <c r="AR168" s="77" t="s">
        <v>1448</v>
      </c>
      <c r="AS168" s="77" t="s">
        <v>1448</v>
      </c>
      <c r="AT168" s="77" t="s">
        <v>1448</v>
      </c>
      <c r="AU168" s="77" t="s">
        <v>1448</v>
      </c>
      <c r="AV168" s="77" t="s">
        <v>1448</v>
      </c>
      <c r="AW168" s="77" t="s">
        <v>1448</v>
      </c>
      <c r="AX168" s="77" t="s">
        <v>1448</v>
      </c>
      <c r="AY168" s="77" t="s">
        <v>1448</v>
      </c>
      <c r="AZ168" s="77" t="s">
        <v>1448</v>
      </c>
      <c r="BA168" s="77" t="s">
        <v>1448</v>
      </c>
      <c r="BB168" s="77" t="s">
        <v>1448</v>
      </c>
      <c r="BD168" s="79" t="s">
        <v>2522</v>
      </c>
      <c r="BO168" s="77" t="b">
        <v>0</v>
      </c>
      <c r="BV168" s="77" t="str">
        <f>A168 &amp; "-" &amp; TEXT(B168, "jj/mm/aaaa") &amp; "-" &amp; COUNTIF($A$2:A333, A168)</f>
        <v>CT336WE-24/05/2024-1</v>
      </c>
      <c r="BX168" s="77" t="str">
        <v>FH578RX</v>
      </c>
    </row>
    <row r="169" spans="1:76" x14ac:dyDescent="0.2">
      <c r="A169" s="77" t="s">
        <v>2508</v>
      </c>
      <c r="B169" s="88">
        <v>45436.694745370369</v>
      </c>
      <c r="C169" s="77" t="s">
        <v>2509</v>
      </c>
      <c r="E169" s="77" t="b">
        <v>1</v>
      </c>
      <c r="F169" s="77" t="b">
        <v>0</v>
      </c>
      <c r="G169" s="77" t="b">
        <v>0</v>
      </c>
      <c r="H169" s="77" t="b">
        <v>0</v>
      </c>
      <c r="I169" s="77" t="s">
        <v>2513</v>
      </c>
      <c r="J169" s="77" t="s">
        <v>1484</v>
      </c>
      <c r="K169" s="77" t="s">
        <v>98</v>
      </c>
      <c r="L169" s="77" t="s">
        <v>135</v>
      </c>
      <c r="M169" s="77" t="s">
        <v>701</v>
      </c>
      <c r="N169" s="86">
        <v>36009</v>
      </c>
      <c r="BC169" s="79" t="s">
        <v>2514</v>
      </c>
      <c r="BD169" s="79" t="s">
        <v>2515</v>
      </c>
      <c r="BE169" s="79" t="s">
        <v>2516</v>
      </c>
      <c r="BF169" s="79" t="s">
        <v>2517</v>
      </c>
      <c r="BG169" s="79" t="s">
        <v>2518</v>
      </c>
      <c r="BO169" s="77" t="b">
        <v>0</v>
      </c>
      <c r="BV169" s="77" t="str">
        <f>A169 &amp; "-" &amp; TEXT(B169, "jj/mm/aaaa") &amp; "-" &amp; COUNTIF($A$2:A335, A169)</f>
        <v>GK270RK-24/05/2024-1</v>
      </c>
      <c r="BX169" s="77" t="str">
        <v>FJ441QK</v>
      </c>
    </row>
    <row r="170" spans="1:76" x14ac:dyDescent="0.2">
      <c r="A170" s="77" t="s">
        <v>279</v>
      </c>
      <c r="B170" s="88">
        <v>45439.364710648151</v>
      </c>
      <c r="C170" s="77" t="s">
        <v>101</v>
      </c>
      <c r="D170" s="77" t="s">
        <v>957</v>
      </c>
      <c r="E170" s="77" t="b">
        <v>1</v>
      </c>
      <c r="F170" s="77" t="b">
        <v>1</v>
      </c>
      <c r="G170" s="77" t="b">
        <v>1</v>
      </c>
      <c r="H170" s="77" t="b">
        <v>0</v>
      </c>
      <c r="I170" s="77" t="s">
        <v>94</v>
      </c>
      <c r="J170" s="77">
        <v>38</v>
      </c>
      <c r="K170" s="77" t="s">
        <v>280</v>
      </c>
      <c r="L170" s="77" t="s">
        <v>73</v>
      </c>
      <c r="M170" s="77" t="s">
        <v>95</v>
      </c>
      <c r="N170" s="86">
        <v>150088</v>
      </c>
      <c r="BC170" s="79" t="s">
        <v>2520</v>
      </c>
      <c r="BO170" s="77" t="b">
        <v>0</v>
      </c>
      <c r="BV170" s="77" t="str">
        <f>A170 &amp; "-" &amp; TEXT(B170, "jj/mm/aaaa") &amp; "-" &amp; COUNTIF($A$2:A337, A170)</f>
        <v>CN314MZ-27/05/2024-1</v>
      </c>
      <c r="BX170" s="77" t="str">
        <v>FJ539LC</v>
      </c>
    </row>
    <row r="171" spans="1:76" x14ac:dyDescent="0.2">
      <c r="A171" s="77" t="s">
        <v>2523</v>
      </c>
      <c r="B171" s="88">
        <v>45440.370324074072</v>
      </c>
      <c r="C171" s="77" t="s">
        <v>2524</v>
      </c>
      <c r="E171" s="77" t="b">
        <v>0</v>
      </c>
      <c r="F171" s="77" t="b">
        <v>0</v>
      </c>
      <c r="G171" s="77" t="b">
        <v>0</v>
      </c>
      <c r="H171" s="77" t="b">
        <v>0</v>
      </c>
      <c r="I171" s="77" t="s">
        <v>1707</v>
      </c>
      <c r="J171" s="77" t="s">
        <v>1289</v>
      </c>
      <c r="K171" s="77" t="s">
        <v>2527</v>
      </c>
      <c r="L171" s="77" t="s">
        <v>1788</v>
      </c>
      <c r="M171" s="77" t="s">
        <v>2043</v>
      </c>
      <c r="BC171" s="79" t="s">
        <v>2528</v>
      </c>
      <c r="BO171" s="77" t="b">
        <v>0</v>
      </c>
      <c r="BV171" s="77" t="str">
        <f>A171 &amp; "-" &amp; TEXT(B171, "jj/mm/aaaa") &amp; "-" &amp; COUNTIF($A$2:A339, A171)</f>
        <v>BS824ZE-28/05/2024-1</v>
      </c>
      <c r="BX171" s="77" t="str">
        <v>FK263RH</v>
      </c>
    </row>
    <row r="172" spans="1:76" x14ac:dyDescent="0.2">
      <c r="A172" s="77" t="s">
        <v>2536</v>
      </c>
      <c r="B172" s="88">
        <v>45440.722233796296</v>
      </c>
      <c r="C172" s="77" t="s">
        <v>2537</v>
      </c>
      <c r="D172" s="77" t="s">
        <v>957</v>
      </c>
      <c r="E172" s="77" t="b">
        <v>0</v>
      </c>
      <c r="F172" s="77" t="b">
        <v>0</v>
      </c>
      <c r="G172" s="77" t="b">
        <v>1</v>
      </c>
      <c r="H172" s="77" t="b">
        <v>0</v>
      </c>
      <c r="I172" s="77" t="s">
        <v>302</v>
      </c>
      <c r="J172" s="77" t="s">
        <v>1173</v>
      </c>
      <c r="K172" s="77" t="s">
        <v>204</v>
      </c>
      <c r="L172" s="77" t="s">
        <v>128</v>
      </c>
      <c r="M172" s="77" t="s">
        <v>2538</v>
      </c>
      <c r="N172" s="86">
        <v>9639</v>
      </c>
      <c r="P172" s="77" t="s">
        <v>1448</v>
      </c>
      <c r="Q172" s="77" t="s">
        <v>1448</v>
      </c>
      <c r="R172" s="77" t="s">
        <v>1448</v>
      </c>
      <c r="S172" s="77" t="s">
        <v>1448</v>
      </c>
      <c r="T172" s="77" t="s">
        <v>1448</v>
      </c>
      <c r="U172" s="77" t="s">
        <v>1448</v>
      </c>
      <c r="V172" s="77" t="s">
        <v>1448</v>
      </c>
      <c r="W172" s="77" t="s">
        <v>1448</v>
      </c>
      <c r="X172" s="77" t="s">
        <v>1448</v>
      </c>
      <c r="Y172" s="77" t="s">
        <v>1448</v>
      </c>
      <c r="Z172" s="77" t="s">
        <v>1448</v>
      </c>
      <c r="AA172" s="77" t="s">
        <v>1448</v>
      </c>
      <c r="AB172" s="77" t="s">
        <v>1448</v>
      </c>
      <c r="AC172" s="77" t="s">
        <v>1448</v>
      </c>
      <c r="AD172" s="77" t="s">
        <v>1448</v>
      </c>
      <c r="AE172" s="77" t="s">
        <v>1448</v>
      </c>
      <c r="AF172" s="77" t="s">
        <v>1448</v>
      </c>
      <c r="AG172" s="77" t="s">
        <v>1448</v>
      </c>
      <c r="AH172" s="77" t="s">
        <v>1448</v>
      </c>
      <c r="AI172" s="77" t="s">
        <v>1448</v>
      </c>
      <c r="AJ172" s="77" t="s">
        <v>1448</v>
      </c>
      <c r="AK172" s="77" t="s">
        <v>1448</v>
      </c>
      <c r="AL172" s="77" t="s">
        <v>1448</v>
      </c>
      <c r="AM172" s="77" t="s">
        <v>1448</v>
      </c>
      <c r="AN172" s="77" t="s">
        <v>1448</v>
      </c>
      <c r="AO172" s="77" t="s">
        <v>1448</v>
      </c>
      <c r="AP172" s="77" t="s">
        <v>1448</v>
      </c>
      <c r="AQ172" s="77" t="s">
        <v>1448</v>
      </c>
      <c r="AR172" s="77" t="s">
        <v>1448</v>
      </c>
      <c r="AS172" s="77" t="s">
        <v>1448</v>
      </c>
      <c r="AT172" s="77" t="s">
        <v>1448</v>
      </c>
      <c r="AU172" s="77" t="s">
        <v>1448</v>
      </c>
      <c r="AV172" s="77" t="s">
        <v>1448</v>
      </c>
      <c r="AW172" s="77" t="s">
        <v>1448</v>
      </c>
      <c r="AX172" s="77" t="s">
        <v>1448</v>
      </c>
      <c r="AY172" s="77" t="s">
        <v>1448</v>
      </c>
      <c r="AZ172" s="77" t="s">
        <v>1448</v>
      </c>
      <c r="BA172" s="77" t="s">
        <v>1448</v>
      </c>
      <c r="BB172" s="77" t="s">
        <v>1448</v>
      </c>
      <c r="BC172" s="79" t="s">
        <v>2551</v>
      </c>
      <c r="BO172" s="77" t="b">
        <v>0</v>
      </c>
      <c r="BV172" s="77" t="str">
        <f>A172 &amp; "-" &amp; TEXT(B172, "jj/mm/aaaa") &amp; "-" &amp; COUNTIF($A$2:A341, A172)</f>
        <v>GA831DC-28/05/2024-1</v>
      </c>
      <c r="BX172" s="77" t="str">
        <v>FK488HY</v>
      </c>
    </row>
    <row r="173" spans="1:76" x14ac:dyDescent="0.2">
      <c r="A173" s="77" t="s">
        <v>2542</v>
      </c>
      <c r="B173" s="88">
        <v>45441.35733796296</v>
      </c>
      <c r="C173" s="77" t="s">
        <v>1013</v>
      </c>
      <c r="E173" s="77" t="b">
        <v>1</v>
      </c>
      <c r="F173" s="77" t="b">
        <v>1</v>
      </c>
      <c r="G173" s="77" t="b">
        <v>1</v>
      </c>
      <c r="H173" s="77" t="b">
        <v>0</v>
      </c>
      <c r="I173" s="77" t="s">
        <v>2546</v>
      </c>
      <c r="J173" s="77" t="s">
        <v>1470</v>
      </c>
      <c r="K173" s="77" t="s">
        <v>378</v>
      </c>
      <c r="L173" s="77" t="s">
        <v>228</v>
      </c>
      <c r="M173" s="77" t="s">
        <v>2543</v>
      </c>
      <c r="N173" s="86">
        <v>83608</v>
      </c>
      <c r="O173" s="77" t="s">
        <v>2547</v>
      </c>
      <c r="P173" s="77" t="s">
        <v>1449</v>
      </c>
      <c r="Q173" s="77" t="s">
        <v>1448</v>
      </c>
      <c r="R173" s="77" t="s">
        <v>1448</v>
      </c>
      <c r="S173" s="77" t="s">
        <v>1448</v>
      </c>
      <c r="T173" s="77" t="s">
        <v>1448</v>
      </c>
      <c r="U173" s="77" t="s">
        <v>1448</v>
      </c>
      <c r="V173" s="77" t="s">
        <v>1448</v>
      </c>
      <c r="W173" s="77" t="s">
        <v>1448</v>
      </c>
      <c r="X173" s="77" t="s">
        <v>1448</v>
      </c>
      <c r="Y173" s="77" t="s">
        <v>1448</v>
      </c>
      <c r="Z173" s="77" t="s">
        <v>1448</v>
      </c>
      <c r="AA173" s="77" t="s">
        <v>1448</v>
      </c>
      <c r="AB173" s="77" t="s">
        <v>1448</v>
      </c>
      <c r="AC173" s="77" t="s">
        <v>1448</v>
      </c>
      <c r="AD173" s="77" t="s">
        <v>1448</v>
      </c>
      <c r="AE173" s="77" t="s">
        <v>1448</v>
      </c>
      <c r="AF173" s="77" t="s">
        <v>1449</v>
      </c>
      <c r="AG173" s="77" t="s">
        <v>1448</v>
      </c>
      <c r="AH173" s="77" t="s">
        <v>1448</v>
      </c>
      <c r="AI173" s="77" t="s">
        <v>1448</v>
      </c>
      <c r="AJ173" s="77" t="s">
        <v>1448</v>
      </c>
      <c r="AK173" s="77" t="s">
        <v>1448</v>
      </c>
      <c r="AL173" s="77" t="s">
        <v>1448</v>
      </c>
      <c r="AM173" s="77" t="s">
        <v>1448</v>
      </c>
      <c r="AN173" s="77" t="s">
        <v>1448</v>
      </c>
      <c r="AO173" s="77" t="s">
        <v>1448</v>
      </c>
      <c r="AP173" s="77" t="s">
        <v>1448</v>
      </c>
      <c r="AQ173" s="77" t="s">
        <v>1448</v>
      </c>
      <c r="AR173" s="77" t="s">
        <v>1448</v>
      </c>
      <c r="AS173" s="77" t="s">
        <v>1448</v>
      </c>
      <c r="AT173" s="77" t="s">
        <v>1448</v>
      </c>
      <c r="AU173" s="77" t="s">
        <v>1448</v>
      </c>
      <c r="AV173" s="77" t="s">
        <v>1448</v>
      </c>
      <c r="AW173" s="77" t="s">
        <v>1448</v>
      </c>
      <c r="AX173" s="77" t="s">
        <v>1448</v>
      </c>
      <c r="AY173" s="77" t="s">
        <v>1448</v>
      </c>
      <c r="AZ173" s="77" t="s">
        <v>1449</v>
      </c>
      <c r="BA173" s="77" t="s">
        <v>1448</v>
      </c>
      <c r="BB173" s="77" t="s">
        <v>1448</v>
      </c>
      <c r="BC173" s="79" t="s">
        <v>2548</v>
      </c>
      <c r="BD173" s="79" t="s">
        <v>2550</v>
      </c>
      <c r="BE173" s="79" t="s">
        <v>2549</v>
      </c>
      <c r="BO173" s="77" t="b">
        <v>0</v>
      </c>
      <c r="BV173" s="77" t="str">
        <f>A173 &amp; "-" &amp; TEXT(B173, "jj/mm/aaaa") &amp; "-" &amp; COUNTIF($A$2:A343, A173)</f>
        <v>DY317LS-29/05/2024-1</v>
      </c>
      <c r="BX173" s="77" t="str">
        <v>FK926GY</v>
      </c>
    </row>
    <row r="174" spans="1:76" x14ac:dyDescent="0.2">
      <c r="A174" s="77" t="s">
        <v>2328</v>
      </c>
      <c r="B174" s="88">
        <v>45441.376180555555</v>
      </c>
      <c r="C174" s="77" t="s">
        <v>1472</v>
      </c>
      <c r="E174" s="77" t="b">
        <v>0</v>
      </c>
      <c r="F174" s="77" t="b">
        <v>0</v>
      </c>
      <c r="G174" s="77" t="b">
        <v>0</v>
      </c>
      <c r="H174" s="77" t="b">
        <v>0</v>
      </c>
      <c r="I174" s="77" t="s">
        <v>1942</v>
      </c>
      <c r="J174" s="77" t="s">
        <v>1104</v>
      </c>
      <c r="K174" s="77" t="s">
        <v>2333</v>
      </c>
      <c r="L174" s="77" t="s">
        <v>2329</v>
      </c>
      <c r="M174" s="77" t="s">
        <v>2330</v>
      </c>
      <c r="BO174" s="77" t="b">
        <v>0</v>
      </c>
      <c r="BV174" s="77" t="str">
        <f>A174 &amp; "-" &amp; TEXT(B174, "jj/mm/aaaa") &amp; "-" &amp; COUNTIF($A$2:A345, A174)</f>
        <v>DX181TA-29/05/2024-2</v>
      </c>
      <c r="BX174" s="77" t="str">
        <v>FK943MK</v>
      </c>
    </row>
    <row r="175" spans="1:76" x14ac:dyDescent="0.2">
      <c r="A175" s="77" t="s">
        <v>2552</v>
      </c>
      <c r="B175" s="88">
        <v>45442.432280092595</v>
      </c>
      <c r="C175" s="77" t="s">
        <v>2553</v>
      </c>
      <c r="D175" s="77" t="s">
        <v>957</v>
      </c>
      <c r="E175" s="77" t="b">
        <v>1</v>
      </c>
      <c r="F175" s="77" t="b">
        <v>1</v>
      </c>
      <c r="G175" s="77" t="b">
        <v>0</v>
      </c>
      <c r="H175" s="77" t="b">
        <v>1</v>
      </c>
      <c r="I175" s="77" t="s">
        <v>1725</v>
      </c>
      <c r="J175" s="77" t="s">
        <v>1986</v>
      </c>
      <c r="K175" s="77" t="s">
        <v>1792</v>
      </c>
      <c r="L175" s="77" t="s">
        <v>173</v>
      </c>
      <c r="M175" s="77" t="s">
        <v>174</v>
      </c>
      <c r="N175" s="86">
        <v>187358</v>
      </c>
      <c r="O175" s="77" t="s">
        <v>2558</v>
      </c>
      <c r="P175" s="77" t="s">
        <v>1448</v>
      </c>
      <c r="Q175" s="77" t="s">
        <v>1448</v>
      </c>
      <c r="R175" s="77" t="s">
        <v>1448</v>
      </c>
      <c r="S175" s="77" t="s">
        <v>1448</v>
      </c>
      <c r="T175" s="77" t="s">
        <v>1448</v>
      </c>
      <c r="U175" s="77" t="s">
        <v>1448</v>
      </c>
      <c r="V175" s="77" t="s">
        <v>1448</v>
      </c>
      <c r="W175" s="77" t="s">
        <v>1448</v>
      </c>
      <c r="X175" s="77" t="s">
        <v>1448</v>
      </c>
      <c r="Y175" s="77" t="s">
        <v>1448</v>
      </c>
      <c r="Z175" s="77" t="s">
        <v>1448</v>
      </c>
      <c r="AA175" s="77" t="s">
        <v>1449</v>
      </c>
      <c r="AB175" s="77" t="s">
        <v>1448</v>
      </c>
      <c r="AC175" s="77" t="s">
        <v>1448</v>
      </c>
      <c r="AD175" s="77" t="s">
        <v>1448</v>
      </c>
      <c r="AE175" s="77" t="s">
        <v>1448</v>
      </c>
      <c r="AF175" s="77" t="s">
        <v>1448</v>
      </c>
      <c r="AG175" s="77" t="s">
        <v>1448</v>
      </c>
      <c r="AH175" s="77" t="s">
        <v>1448</v>
      </c>
      <c r="AI175" s="77" t="s">
        <v>1448</v>
      </c>
      <c r="AJ175" s="77" t="s">
        <v>1448</v>
      </c>
      <c r="AK175" s="77" t="s">
        <v>1448</v>
      </c>
      <c r="AL175" s="77" t="s">
        <v>1448</v>
      </c>
      <c r="AM175" s="77" t="s">
        <v>1449</v>
      </c>
      <c r="AN175" s="77" t="s">
        <v>1448</v>
      </c>
      <c r="AO175" s="77" t="s">
        <v>1448</v>
      </c>
      <c r="AP175" s="77" t="s">
        <v>1448</v>
      </c>
      <c r="AQ175" s="77" t="s">
        <v>1448</v>
      </c>
      <c r="AR175" s="77" t="s">
        <v>1448</v>
      </c>
      <c r="AS175" s="77" t="s">
        <v>1448</v>
      </c>
      <c r="AT175" s="77" t="s">
        <v>1448</v>
      </c>
      <c r="AU175" s="77" t="s">
        <v>1448</v>
      </c>
      <c r="AV175" s="77" t="s">
        <v>1448</v>
      </c>
      <c r="AW175" s="77" t="s">
        <v>1448</v>
      </c>
      <c r="AX175" s="77" t="s">
        <v>1448</v>
      </c>
      <c r="AY175" s="77" t="s">
        <v>1448</v>
      </c>
      <c r="AZ175" s="77" t="s">
        <v>1448</v>
      </c>
      <c r="BA175" s="77" t="s">
        <v>1448</v>
      </c>
      <c r="BB175" s="77" t="s">
        <v>1448</v>
      </c>
      <c r="BC175" s="79" t="s">
        <v>2557</v>
      </c>
      <c r="BD175" s="79" t="s">
        <v>2559</v>
      </c>
      <c r="BE175" s="79" t="s">
        <v>2560</v>
      </c>
      <c r="BF175" s="79" t="s">
        <v>2561</v>
      </c>
      <c r="BO175" s="77" t="b">
        <v>0</v>
      </c>
      <c r="BV175" s="77" t="str">
        <f>A175 &amp; "-" &amp; TEXT(B175, "jj/mm/aaaa") &amp; "-" &amp; COUNTIF($A$2:A347, A175)</f>
        <v>BQ561KN-30/05/2024-1</v>
      </c>
      <c r="BX175" s="77" t="str">
        <v>FL086SX</v>
      </c>
    </row>
    <row r="176" spans="1:76" x14ac:dyDescent="0.2">
      <c r="A176" s="77" t="s">
        <v>148</v>
      </c>
      <c r="B176" s="88">
        <v>45443.420532407406</v>
      </c>
      <c r="C176" s="77" t="s">
        <v>2564</v>
      </c>
      <c r="D176" s="77" t="s">
        <v>957</v>
      </c>
      <c r="E176" s="77" t="b">
        <v>1</v>
      </c>
      <c r="F176" s="77" t="b">
        <v>0</v>
      </c>
      <c r="G176" s="77" t="b">
        <v>0</v>
      </c>
      <c r="H176" s="77" t="b">
        <v>0</v>
      </c>
      <c r="I176" s="77" t="s">
        <v>94</v>
      </c>
      <c r="J176" s="77">
        <v>20</v>
      </c>
      <c r="K176" s="77" t="s">
        <v>149</v>
      </c>
      <c r="L176" s="77" t="s">
        <v>128</v>
      </c>
      <c r="M176" s="77" t="s">
        <v>150</v>
      </c>
      <c r="N176" s="86">
        <v>109560</v>
      </c>
      <c r="O176" s="83">
        <v>45605</v>
      </c>
      <c r="BC176" s="79" t="s">
        <v>2566</v>
      </c>
      <c r="BO176" s="77" t="b">
        <v>0</v>
      </c>
      <c r="BV176" s="77" t="str">
        <f>A176 &amp; "-" &amp; TEXT(B176, "jj/mm/aaaa") &amp; "-" &amp; COUNTIF($A$2:A349, A176)</f>
        <v>AS065NW-31/05/2024-1</v>
      </c>
      <c r="BX176" s="77" t="str">
        <v>FL303VF</v>
      </c>
    </row>
    <row r="177" spans="1:76" x14ac:dyDescent="0.2">
      <c r="A177" s="77" t="s">
        <v>2567</v>
      </c>
      <c r="B177" s="88">
        <v>45443.598703703705</v>
      </c>
      <c r="C177" s="77" t="s">
        <v>899</v>
      </c>
      <c r="D177" s="77" t="s">
        <v>957</v>
      </c>
      <c r="E177" s="77" t="b">
        <v>1</v>
      </c>
      <c r="F177" s="77" t="b">
        <v>0</v>
      </c>
      <c r="G177" s="77" t="b">
        <v>0</v>
      </c>
      <c r="H177" s="77" t="b">
        <v>0</v>
      </c>
      <c r="I177" s="77" t="s">
        <v>2570</v>
      </c>
      <c r="J177" s="77" t="s">
        <v>1484</v>
      </c>
      <c r="K177" s="77" t="s">
        <v>2569</v>
      </c>
      <c r="L177" s="77" t="s">
        <v>122</v>
      </c>
      <c r="M177" s="77" t="s">
        <v>123</v>
      </c>
      <c r="N177" s="86">
        <v>133077</v>
      </c>
      <c r="BC177" s="79" t="s">
        <v>2583</v>
      </c>
      <c r="BO177" s="77" t="b">
        <v>0</v>
      </c>
      <c r="BV177" s="77" t="str">
        <f>A177 &amp; "-" &amp; TEXT(B177, "jj/mm/aaaa") &amp; "-" &amp; COUNTIF($A$2:A351, A177)</f>
        <v>BN698KH-31/05/2024-1</v>
      </c>
      <c r="BX177" s="77" t="str">
        <v>FP687GP</v>
      </c>
    </row>
    <row r="178" spans="1:76" x14ac:dyDescent="0.2">
      <c r="A178" s="77" t="s">
        <v>2571</v>
      </c>
      <c r="B178" s="88">
        <v>45443.602187500001</v>
      </c>
      <c r="C178" s="77" t="s">
        <v>2572</v>
      </c>
      <c r="E178" s="77" t="b">
        <v>0</v>
      </c>
      <c r="F178" s="77" t="b">
        <v>0</v>
      </c>
      <c r="G178" s="77" t="b">
        <v>0</v>
      </c>
      <c r="H178" s="77" t="b">
        <v>0</v>
      </c>
      <c r="I178" s="77" t="s">
        <v>456</v>
      </c>
      <c r="J178" s="77" t="s">
        <v>1484</v>
      </c>
      <c r="K178" s="77" t="s">
        <v>2575</v>
      </c>
      <c r="L178" s="77" t="s">
        <v>122</v>
      </c>
      <c r="M178" s="77" t="s">
        <v>332</v>
      </c>
      <c r="BC178" s="79" t="s">
        <v>2576</v>
      </c>
      <c r="BO178" s="77" t="b">
        <v>0</v>
      </c>
      <c r="BV178" s="77" t="str">
        <f>A178 &amp; "-" &amp; TEXT(B178, "jj/mm/aaaa") &amp; "-" &amp; COUNTIF($A$2:A353, A178)</f>
        <v>CT797MX-31/05/2024-1</v>
      </c>
      <c r="BX178" s="77" t="str">
        <v>FQ371RW</v>
      </c>
    </row>
    <row r="179" spans="1:76" x14ac:dyDescent="0.2">
      <c r="A179" s="77" t="s">
        <v>281</v>
      </c>
      <c r="B179" s="88">
        <v>45443.603321759256</v>
      </c>
      <c r="C179" s="77" t="s">
        <v>998</v>
      </c>
      <c r="D179" s="77" t="s">
        <v>957</v>
      </c>
      <c r="E179" s="77" t="b">
        <v>1</v>
      </c>
      <c r="F179" s="77" t="b">
        <v>0</v>
      </c>
      <c r="G179" s="77" t="b">
        <v>0</v>
      </c>
      <c r="H179" s="77" t="b">
        <v>0</v>
      </c>
      <c r="I179" s="77" t="s">
        <v>238</v>
      </c>
      <c r="J179" s="77" t="s">
        <v>1484</v>
      </c>
      <c r="K179" s="77" t="s">
        <v>72</v>
      </c>
      <c r="L179" s="77" t="s">
        <v>228</v>
      </c>
      <c r="M179" s="77" t="s">
        <v>282</v>
      </c>
      <c r="N179" s="86">
        <v>180301</v>
      </c>
      <c r="O179" s="77" t="s">
        <v>2585</v>
      </c>
      <c r="P179" s="77" t="s">
        <v>1448</v>
      </c>
      <c r="Q179" s="77" t="s">
        <v>1448</v>
      </c>
      <c r="R179" s="77" t="s">
        <v>1449</v>
      </c>
      <c r="S179" s="77" t="s">
        <v>1448</v>
      </c>
      <c r="T179" s="77" t="s">
        <v>1448</v>
      </c>
      <c r="U179" s="77" t="s">
        <v>1448</v>
      </c>
      <c r="V179" s="77" t="s">
        <v>1448</v>
      </c>
      <c r="W179" s="77" t="s">
        <v>1448</v>
      </c>
      <c r="X179" s="77" t="s">
        <v>1448</v>
      </c>
      <c r="Y179" s="77" t="s">
        <v>1448</v>
      </c>
      <c r="Z179" s="77" t="s">
        <v>1448</v>
      </c>
      <c r="AA179" s="77" t="s">
        <v>1448</v>
      </c>
      <c r="AB179" s="77" t="s">
        <v>1448</v>
      </c>
      <c r="AC179" s="77" t="s">
        <v>1448</v>
      </c>
      <c r="AD179" s="77" t="s">
        <v>1448</v>
      </c>
      <c r="AE179" s="77" t="s">
        <v>1448</v>
      </c>
      <c r="AF179" s="77" t="s">
        <v>1448</v>
      </c>
      <c r="AG179" s="77" t="s">
        <v>1448</v>
      </c>
      <c r="AH179" s="77" t="s">
        <v>1448</v>
      </c>
      <c r="AI179" s="77" t="s">
        <v>1448</v>
      </c>
      <c r="AJ179" s="77" t="s">
        <v>1448</v>
      </c>
      <c r="AK179" s="77" t="s">
        <v>1448</v>
      </c>
      <c r="AL179" s="77" t="s">
        <v>1448</v>
      </c>
      <c r="AM179" s="77" t="s">
        <v>1449</v>
      </c>
      <c r="AN179" s="77" t="s">
        <v>1448</v>
      </c>
      <c r="AO179" s="77" t="s">
        <v>1448</v>
      </c>
      <c r="AP179" s="77" t="s">
        <v>1448</v>
      </c>
      <c r="AQ179" s="77" t="s">
        <v>1448</v>
      </c>
      <c r="AR179" s="77" t="s">
        <v>1448</v>
      </c>
      <c r="AS179" s="77" t="s">
        <v>1448</v>
      </c>
      <c r="AT179" s="77" t="s">
        <v>1448</v>
      </c>
      <c r="AU179" s="77" t="s">
        <v>1448</v>
      </c>
      <c r="AV179" s="77" t="s">
        <v>1448</v>
      </c>
      <c r="AW179" s="77" t="s">
        <v>1448</v>
      </c>
      <c r="AX179" s="77" t="s">
        <v>1448</v>
      </c>
      <c r="AY179" s="77" t="s">
        <v>1448</v>
      </c>
      <c r="AZ179" s="77" t="s">
        <v>1448</v>
      </c>
      <c r="BA179" s="77" t="s">
        <v>1448</v>
      </c>
      <c r="BB179" s="77" t="s">
        <v>1448</v>
      </c>
      <c r="BC179" s="79" t="s">
        <v>2586</v>
      </c>
      <c r="BD179" s="79" t="s">
        <v>2589</v>
      </c>
      <c r="BE179" s="79" t="s">
        <v>2587</v>
      </c>
      <c r="BF179" s="79" t="s">
        <v>2588</v>
      </c>
      <c r="BG179" s="79" t="s">
        <v>2590</v>
      </c>
      <c r="BO179" s="77" t="b">
        <v>0</v>
      </c>
      <c r="BV179" s="77" t="str">
        <f>A179 &amp; "-" &amp; TEXT(B179, "jj/mm/aaaa") &amp; "-" &amp; COUNTIF($A$2:A355, A179)</f>
        <v>CN644SP-31/05/2024-1</v>
      </c>
      <c r="BX179" s="77" t="str">
        <v>FR107VT</v>
      </c>
    </row>
    <row r="180" spans="1:76" x14ac:dyDescent="0.2">
      <c r="A180" s="77" t="s">
        <v>2580</v>
      </c>
      <c r="B180" s="88">
        <v>45447.369039351855</v>
      </c>
      <c r="C180" s="77" t="s">
        <v>2581</v>
      </c>
      <c r="D180" s="77" t="s">
        <v>957</v>
      </c>
      <c r="E180" s="77" t="b">
        <v>0</v>
      </c>
      <c r="F180" s="77" t="b">
        <v>0</v>
      </c>
      <c r="G180" s="77" t="b">
        <v>0</v>
      </c>
      <c r="H180" s="77" t="b">
        <v>0</v>
      </c>
      <c r="I180" s="77" t="s">
        <v>1725</v>
      </c>
      <c r="J180" s="77" t="s">
        <v>1484</v>
      </c>
      <c r="K180" s="77" t="s">
        <v>158</v>
      </c>
      <c r="L180" s="77" t="s">
        <v>139</v>
      </c>
      <c r="M180" s="77" t="s">
        <v>549</v>
      </c>
      <c r="N180" s="86">
        <v>175447</v>
      </c>
      <c r="O180" s="83">
        <v>45510</v>
      </c>
      <c r="P180" s="77" t="s">
        <v>1448</v>
      </c>
      <c r="Q180" s="77" t="s">
        <v>1448</v>
      </c>
      <c r="R180" s="77" t="s">
        <v>1448</v>
      </c>
      <c r="S180" s="77" t="s">
        <v>1448</v>
      </c>
      <c r="T180" s="77" t="s">
        <v>1448</v>
      </c>
      <c r="U180" s="77" t="s">
        <v>1448</v>
      </c>
      <c r="V180" s="77" t="s">
        <v>1448</v>
      </c>
      <c r="W180" s="77" t="s">
        <v>1448</v>
      </c>
      <c r="X180" s="77" t="s">
        <v>1448</v>
      </c>
      <c r="Y180" s="77" t="s">
        <v>1448</v>
      </c>
      <c r="Z180" s="77" t="s">
        <v>1448</v>
      </c>
      <c r="AA180" s="77" t="s">
        <v>1448</v>
      </c>
      <c r="AB180" s="77" t="s">
        <v>1448</v>
      </c>
      <c r="AC180" s="77" t="s">
        <v>1448</v>
      </c>
      <c r="AD180" s="77" t="s">
        <v>1448</v>
      </c>
      <c r="AE180" s="77" t="s">
        <v>1448</v>
      </c>
      <c r="AF180" s="77" t="s">
        <v>1448</v>
      </c>
      <c r="AG180" s="77" t="s">
        <v>1448</v>
      </c>
      <c r="AH180" s="77" t="s">
        <v>1448</v>
      </c>
      <c r="AI180" s="77" t="s">
        <v>1448</v>
      </c>
      <c r="AJ180" s="77" t="s">
        <v>1448</v>
      </c>
      <c r="AK180" s="77" t="s">
        <v>1448</v>
      </c>
      <c r="AL180" s="77" t="s">
        <v>1448</v>
      </c>
      <c r="AM180" s="77" t="s">
        <v>1449</v>
      </c>
      <c r="AN180" s="77" t="s">
        <v>1448</v>
      </c>
      <c r="AO180" s="77" t="s">
        <v>1448</v>
      </c>
      <c r="AP180" s="77" t="s">
        <v>1448</v>
      </c>
      <c r="AQ180" s="77" t="s">
        <v>1448</v>
      </c>
      <c r="AR180" s="77" t="s">
        <v>1448</v>
      </c>
      <c r="AS180" s="77" t="s">
        <v>1448</v>
      </c>
      <c r="AT180" s="77" t="s">
        <v>1448</v>
      </c>
      <c r="AU180" s="77" t="s">
        <v>1448</v>
      </c>
      <c r="AV180" s="77" t="s">
        <v>1448</v>
      </c>
      <c r="AW180" s="77" t="s">
        <v>1448</v>
      </c>
      <c r="AX180" s="77" t="s">
        <v>1448</v>
      </c>
      <c r="AY180" s="77" t="s">
        <v>1448</v>
      </c>
      <c r="AZ180" s="77" t="s">
        <v>1448</v>
      </c>
      <c r="BA180" s="77" t="s">
        <v>1448</v>
      </c>
      <c r="BB180" s="77" t="s">
        <v>1448</v>
      </c>
      <c r="BC180" s="79" t="s">
        <v>2601</v>
      </c>
      <c r="BD180" s="79" t="s">
        <v>2591</v>
      </c>
      <c r="BE180" s="79" t="s">
        <v>2602</v>
      </c>
      <c r="BF180" s="79" t="s">
        <v>2603</v>
      </c>
      <c r="BO180" s="77" t="b">
        <v>0</v>
      </c>
      <c r="BV180" s="77" t="str">
        <f>A180 &amp; "-" &amp; TEXT(B180, "jj/mm/aaaa") &amp; "-" &amp; COUNTIF($A$2:A357, A180)</f>
        <v>AS725FX-04/06/2024-1</v>
      </c>
      <c r="BX180" s="77" t="str">
        <v>FR323GT</v>
      </c>
    </row>
    <row r="181" spans="1:76" x14ac:dyDescent="0.2">
      <c r="A181" s="77" t="s">
        <v>1691</v>
      </c>
      <c r="B181" s="88">
        <v>45447.630243055559</v>
      </c>
      <c r="C181" s="77" t="s">
        <v>1692</v>
      </c>
      <c r="D181" s="77" t="s">
        <v>957</v>
      </c>
      <c r="E181" s="77" t="b">
        <v>0</v>
      </c>
      <c r="F181" s="77" t="b">
        <v>0</v>
      </c>
      <c r="G181" s="77" t="b">
        <v>0</v>
      </c>
      <c r="H181" s="77" t="b">
        <v>0</v>
      </c>
      <c r="I181" s="77" t="s">
        <v>569</v>
      </c>
      <c r="J181" s="77" t="s">
        <v>1470</v>
      </c>
      <c r="K181" s="77" t="s">
        <v>158</v>
      </c>
      <c r="L181" s="77" t="s">
        <v>111</v>
      </c>
      <c r="M181" s="77" t="s">
        <v>126</v>
      </c>
      <c r="N181" s="86">
        <v>138973</v>
      </c>
      <c r="P181" s="77" t="s">
        <v>1448</v>
      </c>
      <c r="Q181" s="77" t="s">
        <v>1448</v>
      </c>
      <c r="R181" s="77" t="s">
        <v>1449</v>
      </c>
      <c r="S181" s="77" t="s">
        <v>1449</v>
      </c>
      <c r="T181" s="77" t="s">
        <v>1448</v>
      </c>
      <c r="U181" s="77" t="s">
        <v>1448</v>
      </c>
      <c r="V181" s="77" t="s">
        <v>1449</v>
      </c>
      <c r="W181" s="77" t="s">
        <v>1449</v>
      </c>
      <c r="X181" s="77" t="s">
        <v>1449</v>
      </c>
      <c r="Y181" s="77" t="s">
        <v>1448</v>
      </c>
      <c r="Z181" s="77" t="s">
        <v>1448</v>
      </c>
      <c r="AA181" s="77" t="s">
        <v>1448</v>
      </c>
      <c r="AB181" s="77" t="s">
        <v>1448</v>
      </c>
      <c r="AC181" s="77" t="s">
        <v>1448</v>
      </c>
      <c r="AD181" s="77" t="s">
        <v>1448</v>
      </c>
      <c r="AE181" s="77" t="s">
        <v>1448</v>
      </c>
      <c r="AF181" s="77" t="s">
        <v>1448</v>
      </c>
      <c r="AG181" s="77" t="s">
        <v>1448</v>
      </c>
      <c r="AH181" s="77" t="s">
        <v>1448</v>
      </c>
      <c r="AI181" s="77" t="s">
        <v>1448</v>
      </c>
      <c r="AJ181" s="77" t="s">
        <v>1450</v>
      </c>
      <c r="AK181" s="77" t="s">
        <v>1448</v>
      </c>
      <c r="AL181" s="77" t="s">
        <v>1449</v>
      </c>
      <c r="AM181" s="77" t="s">
        <v>1449</v>
      </c>
      <c r="AN181" s="77" t="s">
        <v>1448</v>
      </c>
      <c r="AO181" s="77" t="s">
        <v>1450</v>
      </c>
      <c r="AP181" s="77" t="s">
        <v>1450</v>
      </c>
      <c r="AQ181" s="77" t="s">
        <v>1449</v>
      </c>
      <c r="AR181" s="77" t="s">
        <v>1448</v>
      </c>
      <c r="AS181" s="77" t="s">
        <v>1450</v>
      </c>
      <c r="AT181" s="77" t="s">
        <v>1449</v>
      </c>
      <c r="AU181" s="77" t="s">
        <v>1450</v>
      </c>
      <c r="AV181" s="77" t="s">
        <v>1448</v>
      </c>
      <c r="AW181" s="77" t="s">
        <v>1448</v>
      </c>
      <c r="AX181" s="77" t="s">
        <v>1448</v>
      </c>
      <c r="AY181" s="77" t="s">
        <v>1450</v>
      </c>
      <c r="AZ181" s="77" t="s">
        <v>1450</v>
      </c>
      <c r="BA181" s="77" t="s">
        <v>1450</v>
      </c>
      <c r="BB181" s="77" t="s">
        <v>1450</v>
      </c>
      <c r="BC181" s="79" t="s">
        <v>2592</v>
      </c>
      <c r="BD181" s="79" t="s">
        <v>2593</v>
      </c>
      <c r="BE181" s="79" t="s">
        <v>2594</v>
      </c>
      <c r="BF181" s="79" t="s">
        <v>2595</v>
      </c>
      <c r="BG181" s="79" t="s">
        <v>2596</v>
      </c>
      <c r="BH181" s="79" t="s">
        <v>2597</v>
      </c>
      <c r="BI181" s="79" t="s">
        <v>2598</v>
      </c>
      <c r="BJ181" s="79" t="s">
        <v>2599</v>
      </c>
      <c r="BK181" s="79" t="s">
        <v>2600</v>
      </c>
      <c r="BO181" s="77" t="b">
        <v>0</v>
      </c>
      <c r="BV181" s="77" t="str">
        <f>A181 &amp; "-" &amp; TEXT(B181, "jj/mm/aaaa") &amp; "-" &amp; COUNTIF($A$2:A359, A181)</f>
        <v>AC133FW-04/06/2024-2</v>
      </c>
      <c r="BX181" s="77" t="str">
        <v>FW611WF</v>
      </c>
    </row>
    <row r="182" spans="1:76" x14ac:dyDescent="0.2">
      <c r="A182" s="77" t="s">
        <v>2611</v>
      </c>
      <c r="BV182" s="77" t="str">
        <f>A182 &amp; "-" &amp; TEXT(B182, "jj/mm/aaaa") &amp; "-" &amp; COUNTIF($A$2:A361, A182)</f>
        <v>DL270SY-00/01/1900-2</v>
      </c>
      <c r="BX182" s="77" t="str">
        <v>FX033HQ</v>
      </c>
    </row>
    <row r="183" spans="1:76" x14ac:dyDescent="0.2">
      <c r="A183" s="77" t="s">
        <v>2604</v>
      </c>
      <c r="B183" s="88">
        <v>45448.351446759261</v>
      </c>
      <c r="C183" s="77" t="s">
        <v>2605</v>
      </c>
      <c r="D183" s="77" t="s">
        <v>957</v>
      </c>
      <c r="E183" s="77" t="b">
        <v>1</v>
      </c>
      <c r="F183" s="77" t="b">
        <v>1</v>
      </c>
      <c r="G183" s="77" t="b">
        <v>1</v>
      </c>
      <c r="H183" s="77" t="b">
        <v>0</v>
      </c>
      <c r="I183" s="77" t="s">
        <v>2610</v>
      </c>
      <c r="J183" s="77" t="s">
        <v>1173</v>
      </c>
      <c r="K183" s="77" t="s">
        <v>204</v>
      </c>
      <c r="L183" s="77" t="s">
        <v>128</v>
      </c>
      <c r="M183" s="77" t="s">
        <v>342</v>
      </c>
      <c r="N183" s="86">
        <v>61770</v>
      </c>
      <c r="O183" s="77" t="s">
        <v>1710</v>
      </c>
      <c r="P183" s="77" t="s">
        <v>1448</v>
      </c>
      <c r="Q183" s="77" t="s">
        <v>1448</v>
      </c>
      <c r="R183" s="77" t="s">
        <v>1448</v>
      </c>
      <c r="S183" s="77" t="s">
        <v>1448</v>
      </c>
      <c r="T183" s="77" t="s">
        <v>1448</v>
      </c>
      <c r="U183" s="77" t="s">
        <v>1448</v>
      </c>
      <c r="V183" s="77" t="s">
        <v>1448</v>
      </c>
      <c r="W183" s="77" t="s">
        <v>1448</v>
      </c>
      <c r="X183" s="77" t="s">
        <v>1448</v>
      </c>
      <c r="Y183" s="77" t="s">
        <v>1448</v>
      </c>
      <c r="Z183" s="77" t="s">
        <v>1448</v>
      </c>
      <c r="AA183" s="77" t="s">
        <v>1448</v>
      </c>
      <c r="AB183" s="77" t="s">
        <v>1448</v>
      </c>
      <c r="AC183" s="77" t="s">
        <v>1448</v>
      </c>
      <c r="AD183" s="77" t="s">
        <v>1448</v>
      </c>
      <c r="AE183" s="77" t="s">
        <v>1448</v>
      </c>
      <c r="AF183" s="77" t="s">
        <v>1448</v>
      </c>
      <c r="AG183" s="77" t="s">
        <v>1448</v>
      </c>
      <c r="AH183" s="77" t="s">
        <v>1448</v>
      </c>
      <c r="AI183" s="77" t="s">
        <v>1448</v>
      </c>
      <c r="AJ183" s="77" t="s">
        <v>1448</v>
      </c>
      <c r="AK183" s="77" t="s">
        <v>1448</v>
      </c>
      <c r="AL183" s="77" t="s">
        <v>1448</v>
      </c>
      <c r="AM183" s="77" t="s">
        <v>1448</v>
      </c>
      <c r="AN183" s="77" t="s">
        <v>1448</v>
      </c>
      <c r="AO183" s="77" t="s">
        <v>1448</v>
      </c>
      <c r="AP183" s="77" t="s">
        <v>1448</v>
      </c>
      <c r="AQ183" s="77" t="s">
        <v>1448</v>
      </c>
      <c r="AR183" s="77" t="s">
        <v>1448</v>
      </c>
      <c r="AS183" s="77" t="s">
        <v>1448</v>
      </c>
      <c r="AT183" s="77" t="s">
        <v>1448</v>
      </c>
      <c r="AU183" s="77" t="s">
        <v>1448</v>
      </c>
      <c r="AV183" s="77" t="s">
        <v>1448</v>
      </c>
      <c r="AW183" s="77" t="s">
        <v>1448</v>
      </c>
      <c r="AX183" s="77" t="s">
        <v>1448</v>
      </c>
      <c r="AY183" s="77" t="s">
        <v>1448</v>
      </c>
      <c r="AZ183" s="77" t="s">
        <v>1448</v>
      </c>
      <c r="BA183" s="77" t="s">
        <v>1448</v>
      </c>
      <c r="BB183" s="77" t="s">
        <v>1448</v>
      </c>
      <c r="BC183" s="79" t="s">
        <v>2617</v>
      </c>
      <c r="BO183" s="77" t="b">
        <v>0</v>
      </c>
      <c r="BV183" s="77" t="str">
        <f>A183 &amp; "-" &amp; TEXT(B183, "jj/mm/aaaa") &amp; "-" &amp; COUNTIF($A$2:A363, A183)</f>
        <v>EL297BE-05/06/2024-1</v>
      </c>
      <c r="BX183" s="77" t="str">
        <v>FY044CK</v>
      </c>
    </row>
    <row r="184" spans="1:76" x14ac:dyDescent="0.2">
      <c r="A184" s="77" t="s">
        <v>362</v>
      </c>
      <c r="B184" s="88">
        <v>45448.363587962966</v>
      </c>
      <c r="C184" s="77" t="s">
        <v>363</v>
      </c>
      <c r="D184" s="77" t="s">
        <v>957</v>
      </c>
      <c r="E184" s="77" t="b">
        <v>1</v>
      </c>
      <c r="F184" s="77" t="b">
        <v>1</v>
      </c>
      <c r="G184" s="77" t="b">
        <v>1</v>
      </c>
      <c r="H184" s="77" t="b">
        <v>1</v>
      </c>
      <c r="I184" s="77" t="s">
        <v>198</v>
      </c>
      <c r="J184" s="77" t="s">
        <v>2582</v>
      </c>
      <c r="K184" s="77" t="s">
        <v>364</v>
      </c>
      <c r="L184" s="77" t="s">
        <v>131</v>
      </c>
      <c r="M184" s="77" t="s">
        <v>199</v>
      </c>
      <c r="N184" s="86">
        <v>190834</v>
      </c>
      <c r="O184" s="83">
        <v>45541</v>
      </c>
      <c r="P184" s="77" t="s">
        <v>1448</v>
      </c>
      <c r="Q184" s="77" t="s">
        <v>1448</v>
      </c>
      <c r="R184" s="77" t="s">
        <v>1449</v>
      </c>
      <c r="S184" s="77" t="s">
        <v>1448</v>
      </c>
      <c r="T184" s="77" t="s">
        <v>1449</v>
      </c>
      <c r="U184" s="77" t="s">
        <v>1448</v>
      </c>
      <c r="V184" s="77" t="s">
        <v>1448</v>
      </c>
      <c r="W184" s="77" t="s">
        <v>1448</v>
      </c>
      <c r="X184" s="77" t="s">
        <v>1448</v>
      </c>
      <c r="Y184" s="77" t="s">
        <v>1448</v>
      </c>
      <c r="Z184" s="77" t="s">
        <v>1449</v>
      </c>
      <c r="AA184" s="77" t="s">
        <v>1449</v>
      </c>
      <c r="AB184" s="77" t="s">
        <v>1448</v>
      </c>
      <c r="AC184" s="77" t="s">
        <v>1448</v>
      </c>
      <c r="AD184" s="77" t="s">
        <v>1449</v>
      </c>
      <c r="AE184" s="77" t="s">
        <v>1448</v>
      </c>
      <c r="AF184" s="77" t="s">
        <v>1448</v>
      </c>
      <c r="AG184" s="77" t="s">
        <v>1448</v>
      </c>
      <c r="AH184" s="77" t="s">
        <v>1448</v>
      </c>
      <c r="AI184" s="77" t="s">
        <v>1448</v>
      </c>
      <c r="AJ184" s="77" t="s">
        <v>1448</v>
      </c>
      <c r="AK184" s="77" t="s">
        <v>1448</v>
      </c>
      <c r="AL184" s="77" t="s">
        <v>1448</v>
      </c>
      <c r="AM184" s="77" t="s">
        <v>1449</v>
      </c>
      <c r="AN184" s="77" t="s">
        <v>1449</v>
      </c>
      <c r="AO184" s="77" t="s">
        <v>1448</v>
      </c>
      <c r="AP184" s="77" t="s">
        <v>1448</v>
      </c>
      <c r="AQ184" s="77" t="s">
        <v>1448</v>
      </c>
      <c r="AR184" s="77" t="s">
        <v>1448</v>
      </c>
      <c r="AS184" s="77" t="s">
        <v>1448</v>
      </c>
      <c r="AT184" s="77" t="s">
        <v>1448</v>
      </c>
      <c r="AU184" s="77" t="s">
        <v>1448</v>
      </c>
      <c r="AV184" s="77" t="s">
        <v>1448</v>
      </c>
      <c r="AW184" s="77" t="s">
        <v>1448</v>
      </c>
      <c r="AX184" s="77" t="s">
        <v>1448</v>
      </c>
      <c r="AY184" s="77" t="s">
        <v>1448</v>
      </c>
      <c r="AZ184" s="77" t="s">
        <v>1448</v>
      </c>
      <c r="BA184" s="77" t="s">
        <v>1449</v>
      </c>
      <c r="BB184" s="77" t="s">
        <v>1448</v>
      </c>
      <c r="BC184" s="79" t="s">
        <v>2622</v>
      </c>
      <c r="BD184" s="79" t="s">
        <v>2623</v>
      </c>
      <c r="BE184" s="79" t="s">
        <v>2624</v>
      </c>
      <c r="BF184" s="79" t="s">
        <v>2625</v>
      </c>
      <c r="BG184" s="79" t="s">
        <v>2626</v>
      </c>
      <c r="BH184" s="79" t="s">
        <v>2627</v>
      </c>
      <c r="BO184" s="77" t="b">
        <v>0</v>
      </c>
      <c r="BV184" s="77" t="str">
        <f>A184 &amp; "-" &amp; TEXT(B184, "jj/mm/aaaa") &amp; "-" &amp; COUNTIF($A$2:A365, A184)</f>
        <v>DG246PQ-05/06/2024-1</v>
      </c>
      <c r="BX184" s="77" t="str">
        <v>GA260SB</v>
      </c>
    </row>
    <row r="185" spans="1:76" x14ac:dyDescent="0.2">
      <c r="A185" s="77" t="s">
        <v>2611</v>
      </c>
      <c r="B185" s="88">
        <v>45448.389699074076</v>
      </c>
      <c r="C185" s="77" t="s">
        <v>2612</v>
      </c>
      <c r="D185" s="77" t="s">
        <v>957</v>
      </c>
      <c r="E185" s="77" t="b">
        <v>1</v>
      </c>
      <c r="F185" s="77" t="b">
        <v>1</v>
      </c>
      <c r="G185" s="77" t="b">
        <v>1</v>
      </c>
      <c r="H185" s="77" t="b">
        <v>1</v>
      </c>
      <c r="I185" s="77" t="s">
        <v>2616</v>
      </c>
      <c r="J185" s="77" t="s">
        <v>1555</v>
      </c>
      <c r="K185" s="77" t="s">
        <v>2616</v>
      </c>
      <c r="L185" s="77" t="s">
        <v>399</v>
      </c>
      <c r="M185" s="77" t="s">
        <v>2614</v>
      </c>
      <c r="N185" s="86">
        <v>214042</v>
      </c>
      <c r="O185" s="77" t="s">
        <v>2618</v>
      </c>
      <c r="P185" s="77" t="s">
        <v>1449</v>
      </c>
      <c r="Q185" s="77" t="s">
        <v>1448</v>
      </c>
      <c r="R185" s="77" t="s">
        <v>1448</v>
      </c>
      <c r="S185" s="77" t="s">
        <v>1448</v>
      </c>
      <c r="T185" s="77" t="s">
        <v>1448</v>
      </c>
      <c r="U185" s="77" t="s">
        <v>1448</v>
      </c>
      <c r="V185" s="77" t="s">
        <v>1448</v>
      </c>
      <c r="W185" s="77" t="s">
        <v>1448</v>
      </c>
      <c r="X185" s="77" t="s">
        <v>1448</v>
      </c>
      <c r="Y185" s="77" t="s">
        <v>1448</v>
      </c>
      <c r="Z185" s="77" t="s">
        <v>1448</v>
      </c>
      <c r="AA185" s="77" t="s">
        <v>1449</v>
      </c>
      <c r="AB185" s="77" t="s">
        <v>1448</v>
      </c>
      <c r="AC185" s="77" t="s">
        <v>1448</v>
      </c>
      <c r="AD185" s="77" t="s">
        <v>1448</v>
      </c>
      <c r="AE185" s="77" t="s">
        <v>1448</v>
      </c>
      <c r="AF185" s="77" t="s">
        <v>1448</v>
      </c>
      <c r="AG185" s="77" t="s">
        <v>1448</v>
      </c>
      <c r="AH185" s="77" t="s">
        <v>1448</v>
      </c>
      <c r="AI185" s="77" t="s">
        <v>1448</v>
      </c>
      <c r="AJ185" s="77" t="s">
        <v>1450</v>
      </c>
      <c r="AK185" s="77" t="s">
        <v>1448</v>
      </c>
      <c r="AL185" s="77" t="s">
        <v>1448</v>
      </c>
      <c r="AM185" s="77" t="s">
        <v>1448</v>
      </c>
      <c r="AN185" s="77" t="s">
        <v>1448</v>
      </c>
      <c r="AO185" s="77" t="s">
        <v>1448</v>
      </c>
      <c r="AP185" s="77" t="s">
        <v>1448</v>
      </c>
      <c r="AQ185" s="77" t="s">
        <v>1448</v>
      </c>
      <c r="AR185" s="77" t="s">
        <v>1448</v>
      </c>
      <c r="AS185" s="77" t="s">
        <v>1449</v>
      </c>
      <c r="AT185" s="77" t="s">
        <v>1448</v>
      </c>
      <c r="AU185" s="77" t="s">
        <v>1448</v>
      </c>
      <c r="AV185" s="77" t="s">
        <v>1448</v>
      </c>
      <c r="AW185" s="77" t="s">
        <v>1448</v>
      </c>
      <c r="AX185" s="77" t="s">
        <v>1448</v>
      </c>
      <c r="AY185" s="77" t="s">
        <v>1448</v>
      </c>
      <c r="AZ185" s="77" t="s">
        <v>1449</v>
      </c>
      <c r="BA185" s="77" t="s">
        <v>1448</v>
      </c>
      <c r="BB185" s="77" t="s">
        <v>1449</v>
      </c>
      <c r="BC185" s="79" t="s">
        <v>2620</v>
      </c>
      <c r="BD185" s="79" t="s">
        <v>2619</v>
      </c>
      <c r="BE185" s="79" t="s">
        <v>2621</v>
      </c>
      <c r="BO185" s="77" t="b">
        <v>0</v>
      </c>
      <c r="BV185" s="77" t="str">
        <f>A185 &amp; "-" &amp; TEXT(B185, "jj/mm/aaaa") &amp; "-" &amp; COUNTIF($A$2:A369, A185)</f>
        <v>DL270SY-05/06/2024-2</v>
      </c>
      <c r="BX185" s="77" t="str">
        <v>GA831DC</v>
      </c>
    </row>
    <row r="186" spans="1:76" x14ac:dyDescent="0.2">
      <c r="A186" s="77" t="s">
        <v>2628</v>
      </c>
      <c r="B186" s="88">
        <v>45448.675381944442</v>
      </c>
      <c r="C186" s="77" t="s">
        <v>2629</v>
      </c>
      <c r="D186" s="77" t="s">
        <v>957</v>
      </c>
      <c r="E186" s="77" t="b">
        <v>0</v>
      </c>
      <c r="F186" s="77" t="b">
        <v>0</v>
      </c>
      <c r="G186" s="77" t="b">
        <v>0</v>
      </c>
      <c r="H186" s="77" t="b">
        <v>0</v>
      </c>
      <c r="I186" s="77" t="s">
        <v>302</v>
      </c>
      <c r="J186" s="77" t="s">
        <v>1136</v>
      </c>
      <c r="K186" s="77" t="s">
        <v>77</v>
      </c>
      <c r="L186" s="77" t="s">
        <v>210</v>
      </c>
      <c r="M186" s="77" t="s">
        <v>2631</v>
      </c>
      <c r="BC186" s="79" t="s">
        <v>2633</v>
      </c>
      <c r="BD186" s="79" t="s">
        <v>2634</v>
      </c>
      <c r="BE186" s="79" t="s">
        <v>2635</v>
      </c>
      <c r="BF186" s="79" t="s">
        <v>2636</v>
      </c>
      <c r="BG186" s="79" t="s">
        <v>2637</v>
      </c>
      <c r="BI186" s="79" t="s">
        <v>2638</v>
      </c>
      <c r="BJ186" s="79" t="s">
        <v>2639</v>
      </c>
      <c r="BO186" s="77" t="b">
        <v>0</v>
      </c>
      <c r="BV186" s="77" t="str">
        <f>A186 &amp; "-" &amp; TEXT(B186, "jj/mm/aaaa") &amp; "-" &amp; COUNTIF($A$2:A370, A186)</f>
        <v>DT996ZQ-05/06/2024-1</v>
      </c>
      <c r="BX186" s="77" t="str">
        <v>GC131DC</v>
      </c>
    </row>
    <row r="187" spans="1:76" x14ac:dyDescent="0.2">
      <c r="A187" s="77" t="s">
        <v>524</v>
      </c>
      <c r="B187" s="88">
        <v>45449.368981481479</v>
      </c>
      <c r="C187" s="77" t="s">
        <v>525</v>
      </c>
      <c r="D187" s="77" t="s">
        <v>957</v>
      </c>
      <c r="E187" s="77" t="b">
        <v>1</v>
      </c>
      <c r="F187" s="77" t="b">
        <v>0</v>
      </c>
      <c r="G187" s="77" t="b">
        <v>0</v>
      </c>
      <c r="H187" s="77" t="b">
        <v>0</v>
      </c>
      <c r="I187" s="77" t="s">
        <v>78</v>
      </c>
      <c r="J187" s="77" t="s">
        <v>1289</v>
      </c>
      <c r="K187" s="77" t="s">
        <v>526</v>
      </c>
      <c r="L187" s="77" t="s">
        <v>139</v>
      </c>
      <c r="M187" s="77" t="s">
        <v>527</v>
      </c>
      <c r="N187" s="86">
        <v>83988</v>
      </c>
      <c r="Q187" s="77" t="s">
        <v>1448</v>
      </c>
      <c r="R187" s="77" t="s">
        <v>1449</v>
      </c>
      <c r="S187" s="77" t="s">
        <v>1448</v>
      </c>
      <c r="T187" s="77" t="s">
        <v>1448</v>
      </c>
      <c r="U187" s="77" t="s">
        <v>1448</v>
      </c>
      <c r="V187" s="77" t="s">
        <v>1448</v>
      </c>
      <c r="W187" s="77" t="s">
        <v>1448</v>
      </c>
      <c r="X187" s="77" t="s">
        <v>1448</v>
      </c>
      <c r="Y187" s="77" t="s">
        <v>1448</v>
      </c>
      <c r="Z187" s="77" t="s">
        <v>1448</v>
      </c>
      <c r="AA187" s="77" t="s">
        <v>1448</v>
      </c>
      <c r="AB187" s="77" t="s">
        <v>1448</v>
      </c>
      <c r="AC187" s="77" t="s">
        <v>1448</v>
      </c>
      <c r="AD187" s="77" t="s">
        <v>1448</v>
      </c>
      <c r="AE187" s="77" t="s">
        <v>1448</v>
      </c>
      <c r="AF187" s="77" t="s">
        <v>1448</v>
      </c>
      <c r="AG187" s="77" t="s">
        <v>1449</v>
      </c>
      <c r="AH187" s="77" t="s">
        <v>1448</v>
      </c>
      <c r="AI187" s="77" t="s">
        <v>1448</v>
      </c>
      <c r="AJ187" s="77" t="s">
        <v>1448</v>
      </c>
      <c r="AK187" s="77" t="s">
        <v>1448</v>
      </c>
      <c r="AL187" s="77" t="s">
        <v>1449</v>
      </c>
      <c r="AM187" s="77" t="s">
        <v>1448</v>
      </c>
      <c r="AN187" s="77" t="s">
        <v>1450</v>
      </c>
      <c r="AO187" s="77" t="s">
        <v>1448</v>
      </c>
      <c r="AP187" s="77" t="s">
        <v>1448</v>
      </c>
      <c r="AQ187" s="77" t="s">
        <v>1448</v>
      </c>
      <c r="AR187" s="77" t="s">
        <v>1448</v>
      </c>
      <c r="AS187" s="77" t="s">
        <v>1448</v>
      </c>
      <c r="AT187" s="77" t="s">
        <v>1448</v>
      </c>
      <c r="AU187" s="77" t="s">
        <v>1448</v>
      </c>
      <c r="AV187" s="77" t="s">
        <v>1448</v>
      </c>
      <c r="AW187" s="77" t="s">
        <v>1450</v>
      </c>
      <c r="AX187" s="77" t="s">
        <v>1448</v>
      </c>
      <c r="AY187" s="77" t="s">
        <v>1448</v>
      </c>
      <c r="AZ187" s="77" t="s">
        <v>1448</v>
      </c>
      <c r="BA187" s="77" t="s">
        <v>1449</v>
      </c>
      <c r="BB187" s="77" t="s">
        <v>1448</v>
      </c>
      <c r="BC187" s="79" t="s">
        <v>2641</v>
      </c>
      <c r="BD187" s="79" t="s">
        <v>2642</v>
      </c>
      <c r="BE187" s="79" t="s">
        <v>2643</v>
      </c>
      <c r="BO187" s="77" t="b">
        <v>0</v>
      </c>
      <c r="BV187" s="77" t="str">
        <f>A187 &amp; "-" &amp; TEXT(B187, "jj/mm/aaaa") &amp; "-" &amp; COUNTIF($A$2:A372, A187)</f>
        <v>EF710PT-06/06/2024-1</v>
      </c>
      <c r="BX187" s="77" t="str">
        <v>GG671XZ</v>
      </c>
    </row>
    <row r="188" spans="1:76" x14ac:dyDescent="0.2">
      <c r="A188" s="77" t="s">
        <v>585</v>
      </c>
      <c r="B188" s="88">
        <v>45449.678888888891</v>
      </c>
      <c r="C188" s="77" t="s">
        <v>392</v>
      </c>
      <c r="E188" s="77" t="b">
        <v>1</v>
      </c>
      <c r="F188" s="77" t="b">
        <v>0</v>
      </c>
      <c r="G188" s="77" t="b">
        <v>0</v>
      </c>
      <c r="H188" s="77" t="b">
        <v>0</v>
      </c>
      <c r="I188" s="77" t="s">
        <v>302</v>
      </c>
      <c r="J188" s="77" t="s">
        <v>503</v>
      </c>
      <c r="K188" s="77" t="s">
        <v>581</v>
      </c>
      <c r="L188" s="77" t="s">
        <v>173</v>
      </c>
      <c r="M188" s="77" t="s">
        <v>504</v>
      </c>
      <c r="N188" s="86">
        <v>123137</v>
      </c>
      <c r="O188" s="83">
        <v>45937</v>
      </c>
      <c r="P188" s="77" t="s">
        <v>1448</v>
      </c>
      <c r="Q188" s="77" t="s">
        <v>1448</v>
      </c>
      <c r="R188" s="77" t="s">
        <v>1448</v>
      </c>
      <c r="S188" s="77" t="s">
        <v>1448</v>
      </c>
      <c r="T188" s="77" t="s">
        <v>1448</v>
      </c>
      <c r="U188" s="77" t="s">
        <v>1448</v>
      </c>
      <c r="V188" s="77" t="s">
        <v>1448</v>
      </c>
      <c r="W188" s="77" t="s">
        <v>1448</v>
      </c>
      <c r="X188" s="77" t="s">
        <v>1448</v>
      </c>
      <c r="Y188" s="77" t="s">
        <v>1448</v>
      </c>
      <c r="Z188" s="77" t="s">
        <v>1448</v>
      </c>
      <c r="AA188" s="77" t="s">
        <v>1448</v>
      </c>
      <c r="AB188" s="77" t="s">
        <v>1448</v>
      </c>
      <c r="AC188" s="77" t="s">
        <v>1448</v>
      </c>
      <c r="AD188" s="77" t="s">
        <v>1448</v>
      </c>
      <c r="AE188" s="77" t="s">
        <v>1448</v>
      </c>
      <c r="AF188" s="77" t="s">
        <v>1448</v>
      </c>
      <c r="AG188" s="77" t="s">
        <v>1448</v>
      </c>
      <c r="AH188" s="77" t="s">
        <v>1448</v>
      </c>
      <c r="AI188" s="77" t="s">
        <v>1448</v>
      </c>
      <c r="AJ188" s="77" t="s">
        <v>1448</v>
      </c>
      <c r="AK188" s="77" t="s">
        <v>1448</v>
      </c>
      <c r="AL188" s="77" t="s">
        <v>1448</v>
      </c>
      <c r="AM188" s="77" t="s">
        <v>1448</v>
      </c>
      <c r="AN188" s="77" t="s">
        <v>1448</v>
      </c>
      <c r="AO188" s="77" t="s">
        <v>1448</v>
      </c>
      <c r="AP188" s="77" t="s">
        <v>1448</v>
      </c>
      <c r="AQ188" s="77" t="s">
        <v>1448</v>
      </c>
      <c r="AR188" s="77" t="s">
        <v>1448</v>
      </c>
      <c r="AS188" s="77" t="s">
        <v>1448</v>
      </c>
      <c r="AT188" s="77" t="s">
        <v>1448</v>
      </c>
      <c r="AU188" s="77" t="s">
        <v>1448</v>
      </c>
      <c r="AV188" s="77" t="s">
        <v>1448</v>
      </c>
      <c r="AW188" s="77" t="s">
        <v>1448</v>
      </c>
      <c r="AX188" s="77" t="s">
        <v>1448</v>
      </c>
      <c r="AY188" s="77" t="s">
        <v>1448</v>
      </c>
      <c r="AZ188" s="77" t="s">
        <v>1448</v>
      </c>
      <c r="BA188" s="77" t="s">
        <v>1448</v>
      </c>
      <c r="BB188" s="77" t="s">
        <v>1448</v>
      </c>
      <c r="BO188" s="77" t="b">
        <v>0</v>
      </c>
      <c r="BV188" s="77" t="str">
        <f>A188 &amp; "-" &amp; TEXT(B188, "jj/mm/aaaa") &amp; "-" &amp; COUNTIF($A$2:A374, A188)</f>
        <v>EP634KN-06/06/2024-2</v>
      </c>
      <c r="BX188" s="77" t="str">
        <v>GK270RK</v>
      </c>
    </row>
    <row r="189" spans="1:76" x14ac:dyDescent="0.2">
      <c r="A189" s="77" t="s">
        <v>2646</v>
      </c>
      <c r="B189" s="88">
        <v>45449.730069444442</v>
      </c>
      <c r="C189" s="77" t="s">
        <v>2647</v>
      </c>
      <c r="D189" s="77" t="s">
        <v>957</v>
      </c>
      <c r="E189" s="77" t="b">
        <v>1</v>
      </c>
      <c r="F189" s="77" t="b">
        <v>1</v>
      </c>
      <c r="G189" s="77" t="b">
        <v>1</v>
      </c>
      <c r="H189" s="77" t="b">
        <v>1</v>
      </c>
      <c r="I189" s="77" t="s">
        <v>2652</v>
      </c>
      <c r="J189" s="77" t="s">
        <v>1104</v>
      </c>
      <c r="K189" s="77" t="s">
        <v>2651</v>
      </c>
      <c r="L189" s="77" t="s">
        <v>1685</v>
      </c>
      <c r="M189" s="77">
        <v>308</v>
      </c>
      <c r="BC189" s="79" t="s">
        <v>2653</v>
      </c>
      <c r="BO189" s="77" t="b">
        <v>0</v>
      </c>
      <c r="BV189" s="77" t="str">
        <f>A189 &amp; "-" &amp; TEXT(B189, "jj/mm/aaaa") &amp; "-" &amp; COUNTIF($A$2:A376, A189)</f>
        <v>DW112AX-06/06/2024-1</v>
      </c>
      <c r="BX189" s="77" t="str">
        <v>GR284QE</v>
      </c>
    </row>
    <row r="190" spans="1:76" x14ac:dyDescent="0.2">
      <c r="A190" s="77" t="s">
        <v>124</v>
      </c>
      <c r="B190" s="88">
        <v>45450.676423611112</v>
      </c>
      <c r="C190" s="77" t="s">
        <v>2654</v>
      </c>
      <c r="D190" s="77" t="s">
        <v>957</v>
      </c>
      <c r="E190" s="77" t="b">
        <v>1</v>
      </c>
      <c r="F190" s="77" t="b">
        <v>1</v>
      </c>
      <c r="G190" s="77" t="b">
        <v>1</v>
      </c>
      <c r="H190" s="77" t="b">
        <v>0</v>
      </c>
      <c r="I190" s="77" t="s">
        <v>1334</v>
      </c>
      <c r="J190" s="77" t="s">
        <v>1470</v>
      </c>
      <c r="K190" s="77" t="s">
        <v>125</v>
      </c>
      <c r="L190" s="77" t="s">
        <v>1340</v>
      </c>
      <c r="M190" s="77" t="s">
        <v>126</v>
      </c>
      <c r="N190" s="86">
        <v>182875</v>
      </c>
      <c r="BC190" s="79" t="s">
        <v>2657</v>
      </c>
      <c r="BO190" s="77" t="b">
        <v>0</v>
      </c>
      <c r="BV190" s="77" t="str">
        <f>A190 &amp; "-" &amp; TEXT(B190, "jj/mm/aaaa") &amp; "-" &amp; COUNTIF($A$2:A378, A190)</f>
        <v>AJ565NR-07/06/2024-1</v>
      </c>
      <c r="BX190" s="77" t="str">
        <v>GR306BV</v>
      </c>
    </row>
    <row r="191" spans="1:76" x14ac:dyDescent="0.2">
      <c r="A191" s="77" t="s">
        <v>2658</v>
      </c>
      <c r="B191" s="88">
        <v>45450.680254629631</v>
      </c>
      <c r="C191" s="77" t="s">
        <v>2659</v>
      </c>
      <c r="D191" s="77" t="s">
        <v>957</v>
      </c>
      <c r="E191" s="77" t="b">
        <v>1</v>
      </c>
      <c r="F191" s="77" t="b">
        <v>1</v>
      </c>
      <c r="G191" s="77" t="b">
        <v>1</v>
      </c>
      <c r="H191" s="77" t="b">
        <v>1</v>
      </c>
      <c r="I191" s="77" t="s">
        <v>115</v>
      </c>
      <c r="J191" s="77" t="s">
        <v>1153</v>
      </c>
      <c r="K191" s="77" t="s">
        <v>72</v>
      </c>
      <c r="L191" s="77" t="s">
        <v>2661</v>
      </c>
      <c r="M191" s="77" t="s">
        <v>2662</v>
      </c>
      <c r="N191" s="86">
        <v>170437</v>
      </c>
      <c r="P191" s="77" t="s">
        <v>1448</v>
      </c>
      <c r="Q191" s="77" t="s">
        <v>1448</v>
      </c>
      <c r="R191" s="77" t="s">
        <v>1448</v>
      </c>
      <c r="S191" s="77" t="s">
        <v>1449</v>
      </c>
      <c r="T191" s="77" t="s">
        <v>1448</v>
      </c>
      <c r="U191" s="77" t="s">
        <v>1448</v>
      </c>
      <c r="V191" s="77" t="s">
        <v>1448</v>
      </c>
      <c r="W191" s="77" t="s">
        <v>1448</v>
      </c>
      <c r="X191" s="77" t="s">
        <v>1448</v>
      </c>
      <c r="Y191" s="77" t="s">
        <v>1448</v>
      </c>
      <c r="Z191" s="77" t="s">
        <v>1449</v>
      </c>
      <c r="AA191" s="77" t="s">
        <v>1448</v>
      </c>
      <c r="AB191" s="77" t="s">
        <v>1448</v>
      </c>
      <c r="AC191" s="77" t="s">
        <v>1448</v>
      </c>
      <c r="AD191" s="77" t="s">
        <v>1448</v>
      </c>
      <c r="AE191" s="77" t="s">
        <v>1448</v>
      </c>
      <c r="AF191" s="77" t="s">
        <v>1448</v>
      </c>
      <c r="AG191" s="77" t="s">
        <v>1448</v>
      </c>
      <c r="AH191" s="77" t="s">
        <v>1448</v>
      </c>
      <c r="AI191" s="77" t="s">
        <v>1448</v>
      </c>
      <c r="AJ191" s="77" t="s">
        <v>1448</v>
      </c>
      <c r="AK191" s="77" t="s">
        <v>1448</v>
      </c>
      <c r="AL191" s="77" t="s">
        <v>1448</v>
      </c>
      <c r="AM191" s="77" t="s">
        <v>1448</v>
      </c>
      <c r="AN191" s="77" t="s">
        <v>1448</v>
      </c>
      <c r="AO191" s="77" t="s">
        <v>1449</v>
      </c>
      <c r="AP191" s="77" t="s">
        <v>1448</v>
      </c>
      <c r="AQ191" s="77" t="s">
        <v>1448</v>
      </c>
      <c r="AR191" s="77" t="s">
        <v>1448</v>
      </c>
      <c r="AS191" s="77" t="s">
        <v>1448</v>
      </c>
      <c r="AT191" s="77" t="s">
        <v>1449</v>
      </c>
      <c r="AU191" s="77" t="s">
        <v>1448</v>
      </c>
      <c r="AV191" s="77" t="s">
        <v>1448</v>
      </c>
      <c r="AW191" s="77" t="s">
        <v>1448</v>
      </c>
      <c r="AX191" s="77" t="s">
        <v>1448</v>
      </c>
      <c r="AY191" s="77" t="s">
        <v>1448</v>
      </c>
      <c r="AZ191" s="77" t="s">
        <v>1448</v>
      </c>
      <c r="BA191" s="77" t="s">
        <v>1448</v>
      </c>
      <c r="BB191" s="77" t="s">
        <v>1448</v>
      </c>
      <c r="BC191" s="79" t="s">
        <v>2666</v>
      </c>
      <c r="BD191" s="79" t="s">
        <v>2667</v>
      </c>
      <c r="BE191" s="79" t="s">
        <v>2668</v>
      </c>
      <c r="BO191" s="77" t="b">
        <v>0</v>
      </c>
      <c r="BV191" s="77" t="str">
        <f>A191 &amp; "-" &amp; TEXT(B191, "jj/mm/aaaa") &amp; "-" &amp; COUNTIF($A$2:A380, A191)</f>
        <v>AN383ZQ-07/06/2024-1</v>
      </c>
      <c r="BX191" s="77" t="str">
        <v>GT603MD</v>
      </c>
    </row>
    <row r="192" spans="1:76" x14ac:dyDescent="0.2">
      <c r="A192" s="77" t="s">
        <v>1465</v>
      </c>
      <c r="B192" s="88">
        <v>45450.681388888886</v>
      </c>
      <c r="C192" s="77" t="s">
        <v>1466</v>
      </c>
      <c r="D192" s="77" t="s">
        <v>957</v>
      </c>
      <c r="E192" s="77" t="b">
        <v>1</v>
      </c>
      <c r="F192" s="77" t="b">
        <v>0</v>
      </c>
      <c r="G192" s="77" t="b">
        <v>0</v>
      </c>
      <c r="H192" s="77" t="b">
        <v>0</v>
      </c>
      <c r="I192" s="77" t="s">
        <v>1470</v>
      </c>
      <c r="J192" s="77" t="s">
        <v>1469</v>
      </c>
      <c r="K192" s="77" t="s">
        <v>238</v>
      </c>
      <c r="L192" s="77" t="s">
        <v>228</v>
      </c>
      <c r="M192" s="77" t="s">
        <v>246</v>
      </c>
      <c r="N192" s="86">
        <v>106817</v>
      </c>
      <c r="BC192" s="79" t="s">
        <v>2665</v>
      </c>
      <c r="BO192" s="77" t="b">
        <v>0</v>
      </c>
      <c r="BV192" s="77" t="str">
        <f>A192 &amp; "-" &amp; TEXT(B192, "jj/mm/aaaa") &amp; "-" &amp; COUNTIF($A$2:A382, A192)</f>
        <v>EY030YA-07/06/2024-2</v>
      </c>
      <c r="BX192" s="77" t="str">
        <v>GT728EC</v>
      </c>
    </row>
    <row r="193" spans="1:76" x14ac:dyDescent="0.2">
      <c r="A193" s="77" t="s">
        <v>2669</v>
      </c>
      <c r="B193" s="88">
        <v>45453.745972222219</v>
      </c>
      <c r="C193" s="77" t="s">
        <v>998</v>
      </c>
      <c r="D193" s="77" t="s">
        <v>957</v>
      </c>
      <c r="E193" s="77" t="b">
        <v>1</v>
      </c>
      <c r="F193" s="77" t="b">
        <v>1</v>
      </c>
      <c r="G193" s="77" t="b">
        <v>1</v>
      </c>
      <c r="H193" s="77" t="b">
        <v>1</v>
      </c>
      <c r="I193" s="77" t="s">
        <v>404</v>
      </c>
      <c r="J193" s="77" t="s">
        <v>2185</v>
      </c>
      <c r="K193" s="77" t="s">
        <v>404</v>
      </c>
      <c r="L193" s="77" t="s">
        <v>399</v>
      </c>
      <c r="M193" s="77" t="s">
        <v>2670</v>
      </c>
      <c r="N193" s="86">
        <v>420962</v>
      </c>
      <c r="O193" s="83">
        <v>46271</v>
      </c>
      <c r="BC193" s="79" t="s">
        <v>2684</v>
      </c>
      <c r="BD193" s="79" t="s">
        <v>2685</v>
      </c>
      <c r="BO193" s="77" t="b">
        <v>0</v>
      </c>
      <c r="BV193" s="77" t="str">
        <f>A193 &amp; "-" &amp; TEXT(B193, "jj/mm/aaaa") &amp; "-" &amp; COUNTIF($A$2:A384, A193)</f>
        <v>AJ748LG-10/06/2024-1</v>
      </c>
      <c r="BX193" s="77" t="str">
        <v>TEST</v>
      </c>
    </row>
    <row r="194" spans="1:76" x14ac:dyDescent="0.2">
      <c r="A194" s="77" t="s">
        <v>2673</v>
      </c>
      <c r="B194" s="88">
        <v>45453.750833333332</v>
      </c>
      <c r="C194" s="77" t="s">
        <v>2674</v>
      </c>
      <c r="D194" s="77" t="s">
        <v>957</v>
      </c>
      <c r="E194" s="77" t="b">
        <v>0</v>
      </c>
      <c r="F194" s="77" t="b">
        <v>0</v>
      </c>
      <c r="G194" s="77" t="b">
        <v>0</v>
      </c>
      <c r="H194" s="77" t="b">
        <v>0</v>
      </c>
      <c r="I194" s="77" t="s">
        <v>302</v>
      </c>
      <c r="J194" s="77" t="s">
        <v>1136</v>
      </c>
      <c r="K194" s="77" t="s">
        <v>2676</v>
      </c>
      <c r="L194" s="77" t="s">
        <v>128</v>
      </c>
      <c r="M194" s="77" t="s">
        <v>242</v>
      </c>
      <c r="N194" s="86">
        <v>80319</v>
      </c>
      <c r="BC194" s="79" t="s">
        <v>2696</v>
      </c>
      <c r="BD194" s="79" t="s">
        <v>2697</v>
      </c>
      <c r="BE194" s="79" t="s">
        <v>2698</v>
      </c>
      <c r="BF194" s="79" t="s">
        <v>2699</v>
      </c>
      <c r="BO194" s="77" t="b">
        <v>0</v>
      </c>
      <c r="BV194" s="77" t="str">
        <f>A194 &amp; "-" &amp; TEXT(B194, "jj/mm/aaaa") &amp; "-" &amp; COUNTIF($A$2:A386, A194)</f>
        <v>ET214FM-10/06/2024-2</v>
      </c>
    </row>
    <row r="195" spans="1:76" x14ac:dyDescent="0.2">
      <c r="A195" s="77" t="s">
        <v>2673</v>
      </c>
      <c r="B195" s="88">
        <v>45453.750833333332</v>
      </c>
      <c r="C195" s="77" t="s">
        <v>2674</v>
      </c>
      <c r="D195" s="77" t="s">
        <v>957</v>
      </c>
      <c r="E195" s="77" t="b">
        <v>0</v>
      </c>
      <c r="F195" s="77" t="b">
        <v>0</v>
      </c>
      <c r="G195" s="77" t="b">
        <v>0</v>
      </c>
      <c r="H195" s="77" t="b">
        <v>0</v>
      </c>
      <c r="I195" s="77" t="s">
        <v>302</v>
      </c>
      <c r="J195" s="77" t="s">
        <v>1136</v>
      </c>
      <c r="K195" s="77" t="s">
        <v>2676</v>
      </c>
      <c r="L195" s="77" t="s">
        <v>128</v>
      </c>
      <c r="M195" s="77" t="s">
        <v>242</v>
      </c>
      <c r="BC195" s="79" t="s">
        <v>2677</v>
      </c>
      <c r="BE195" s="79" t="s">
        <v>2678</v>
      </c>
      <c r="BF195" s="79" t="s">
        <v>2679</v>
      </c>
      <c r="BG195" s="79" t="s">
        <v>2680</v>
      </c>
      <c r="BO195" s="77" t="b">
        <v>0</v>
      </c>
      <c r="BV195" s="77" t="str">
        <f>A195 &amp; "-" &amp; TEXT(B195, "jj/mm/aaaa") &amp; "-" &amp; COUNTIF($A$2:A388, A195)</f>
        <v>ET214FM-10/06/2024-2</v>
      </c>
    </row>
    <row r="196" spans="1:76" x14ac:dyDescent="0.2">
      <c r="A196" s="77" t="s">
        <v>2681</v>
      </c>
      <c r="B196" s="88">
        <v>45454.499143518522</v>
      </c>
      <c r="C196" s="77" t="s">
        <v>2379</v>
      </c>
      <c r="E196" s="77" t="b">
        <v>0</v>
      </c>
      <c r="F196" s="77" t="b">
        <v>0</v>
      </c>
      <c r="G196" s="77" t="b">
        <v>0</v>
      </c>
      <c r="H196" s="77" t="b">
        <v>0</v>
      </c>
      <c r="I196" s="77" t="s">
        <v>238</v>
      </c>
      <c r="J196" s="77" t="s">
        <v>1957</v>
      </c>
      <c r="K196" s="77" t="s">
        <v>72</v>
      </c>
      <c r="L196" s="77" t="s">
        <v>210</v>
      </c>
      <c r="M196" s="77" t="s">
        <v>2268</v>
      </c>
      <c r="BC196" s="79" t="s">
        <v>2686</v>
      </c>
      <c r="BO196" s="77" t="b">
        <v>0</v>
      </c>
      <c r="BV196" s="77" t="str">
        <f>A196 &amp; "-" &amp; TEXT(B196, "jj/mm/aaaa") &amp; "-" &amp; COUNTIF($A$2:A390, A196)</f>
        <v>EQ709WE-11/06/2024-1</v>
      </c>
    </row>
    <row r="197" spans="1:76" x14ac:dyDescent="0.2">
      <c r="A197" s="77" t="s">
        <v>2687</v>
      </c>
      <c r="B197" s="88">
        <v>45454.506342592591</v>
      </c>
      <c r="C197" s="77" t="s">
        <v>2688</v>
      </c>
      <c r="D197" s="77" t="s">
        <v>957</v>
      </c>
      <c r="E197" s="77" t="b">
        <v>0</v>
      </c>
      <c r="F197" s="77" t="b">
        <v>0</v>
      </c>
      <c r="G197" s="77" t="b">
        <v>0</v>
      </c>
      <c r="H197" s="77" t="b">
        <v>0</v>
      </c>
      <c r="I197" s="77" t="s">
        <v>1725</v>
      </c>
      <c r="K197" s="77" t="s">
        <v>114</v>
      </c>
      <c r="L197" s="77" t="s">
        <v>1685</v>
      </c>
      <c r="M197" s="77">
        <v>207</v>
      </c>
      <c r="N197" s="86">
        <v>183836</v>
      </c>
      <c r="O197" s="83">
        <v>45721</v>
      </c>
      <c r="P197" s="77" t="s">
        <v>1448</v>
      </c>
      <c r="Q197" s="77" t="s">
        <v>1448</v>
      </c>
      <c r="R197" s="77" t="s">
        <v>1449</v>
      </c>
      <c r="S197" s="77" t="s">
        <v>1448</v>
      </c>
      <c r="T197" s="77" t="s">
        <v>1448</v>
      </c>
      <c r="U197" s="77" t="s">
        <v>1448</v>
      </c>
      <c r="V197" s="77" t="s">
        <v>1449</v>
      </c>
      <c r="W197" s="77" t="s">
        <v>1448</v>
      </c>
      <c r="X197" s="77" t="s">
        <v>1448</v>
      </c>
      <c r="Y197" s="77" t="s">
        <v>1448</v>
      </c>
      <c r="Z197" s="77" t="s">
        <v>1448</v>
      </c>
      <c r="AA197" s="77" t="s">
        <v>1449</v>
      </c>
      <c r="AB197" s="77" t="s">
        <v>1449</v>
      </c>
      <c r="AC197" s="77" t="s">
        <v>1448</v>
      </c>
      <c r="AD197" s="77" t="s">
        <v>1449</v>
      </c>
      <c r="AE197" s="77" t="s">
        <v>1448</v>
      </c>
      <c r="AF197" s="77" t="s">
        <v>1448</v>
      </c>
      <c r="AG197" s="77" t="s">
        <v>1448</v>
      </c>
      <c r="AH197" s="77" t="s">
        <v>1448</v>
      </c>
      <c r="AI197" s="77" t="s">
        <v>1448</v>
      </c>
      <c r="AJ197" s="77" t="s">
        <v>1448</v>
      </c>
      <c r="AK197" s="77" t="s">
        <v>1448</v>
      </c>
      <c r="AL197" s="77" t="s">
        <v>1448</v>
      </c>
      <c r="AM197" s="77" t="s">
        <v>1449</v>
      </c>
      <c r="AN197" s="77" t="s">
        <v>1449</v>
      </c>
      <c r="AO197" s="77" t="s">
        <v>1450</v>
      </c>
      <c r="AP197" s="77" t="s">
        <v>1449</v>
      </c>
      <c r="AQ197" s="77" t="s">
        <v>1448</v>
      </c>
      <c r="AR197" s="77" t="s">
        <v>1448</v>
      </c>
      <c r="AS197" s="77" t="s">
        <v>1448</v>
      </c>
      <c r="AT197" s="77" t="s">
        <v>1448</v>
      </c>
      <c r="AU197" s="77" t="s">
        <v>1448</v>
      </c>
      <c r="AV197" s="77" t="s">
        <v>1448</v>
      </c>
      <c r="AW197" s="77" t="s">
        <v>1448</v>
      </c>
      <c r="AX197" s="77" t="s">
        <v>1448</v>
      </c>
      <c r="AY197" s="77" t="s">
        <v>1449</v>
      </c>
      <c r="AZ197" s="77" t="s">
        <v>1448</v>
      </c>
      <c r="BA197" s="77" t="s">
        <v>1449</v>
      </c>
      <c r="BB197" s="77" t="s">
        <v>1448</v>
      </c>
      <c r="BC197" s="79" t="s">
        <v>2708</v>
      </c>
      <c r="BD197" s="79" t="s">
        <v>2709</v>
      </c>
      <c r="BE197" s="79" t="s">
        <v>2710</v>
      </c>
      <c r="BF197" s="79" t="s">
        <v>2711</v>
      </c>
      <c r="BG197" s="79" t="s">
        <v>2712</v>
      </c>
      <c r="BH197" s="79" t="s">
        <v>2713</v>
      </c>
      <c r="BI197" s="79" t="s">
        <v>2714</v>
      </c>
      <c r="BJ197" s="79" t="s">
        <v>2715</v>
      </c>
      <c r="BK197" s="79" t="s">
        <v>2716</v>
      </c>
      <c r="BO197" s="77" t="b">
        <v>0</v>
      </c>
      <c r="BV197" s="77" t="str">
        <f>A197 &amp; "-" &amp; TEXT(B197, "jj/mm/aaaa") &amp; "-" &amp; COUNTIF($A$2:A392, A197)</f>
        <v>AN585HN-11/06/2024-1</v>
      </c>
    </row>
    <row r="198" spans="1:76" x14ac:dyDescent="0.2">
      <c r="A198" s="77" t="s">
        <v>2690</v>
      </c>
      <c r="B198" s="88">
        <v>45454.511250000003</v>
      </c>
      <c r="C198" s="77" t="s">
        <v>2691</v>
      </c>
      <c r="D198" s="77" t="s">
        <v>957</v>
      </c>
      <c r="E198" s="77" t="b">
        <v>0</v>
      </c>
      <c r="F198" s="77" t="b">
        <v>0</v>
      </c>
      <c r="G198" s="77" t="b">
        <v>0</v>
      </c>
      <c r="H198" s="77" t="b">
        <v>0</v>
      </c>
      <c r="I198" s="77" t="s">
        <v>302</v>
      </c>
      <c r="J198" s="77" t="s">
        <v>2694</v>
      </c>
      <c r="K198" s="77" t="s">
        <v>114</v>
      </c>
      <c r="L198" s="77" t="s">
        <v>437</v>
      </c>
      <c r="M198" s="77" t="s">
        <v>2692</v>
      </c>
      <c r="N198" s="86">
        <v>164919</v>
      </c>
      <c r="BC198" s="79" t="s">
        <v>2695</v>
      </c>
      <c r="BO198" s="77" t="b">
        <v>0</v>
      </c>
      <c r="BV198" s="77" t="str">
        <f>A198 &amp; "-" &amp; TEXT(B198, "jj/mm/aaaa") &amp; "-" &amp; COUNTIF($A$2:A394, A198)</f>
        <v>DC442HN-11/06/2024-1</v>
      </c>
    </row>
    <row r="199" spans="1:76" x14ac:dyDescent="0.2">
      <c r="A199" s="77" t="s">
        <v>2700</v>
      </c>
      <c r="B199" s="88">
        <v>45455.384780092594</v>
      </c>
      <c r="C199" s="77" t="s">
        <v>2701</v>
      </c>
      <c r="D199" s="77" t="s">
        <v>957</v>
      </c>
      <c r="E199" s="77" t="b">
        <v>1</v>
      </c>
      <c r="F199" s="77" t="b">
        <v>0</v>
      </c>
      <c r="G199" s="77" t="b">
        <v>0</v>
      </c>
      <c r="H199" s="77" t="b">
        <v>0</v>
      </c>
      <c r="I199" s="77" t="s">
        <v>302</v>
      </c>
      <c r="J199" s="77" t="s">
        <v>1136</v>
      </c>
      <c r="K199" s="77" t="s">
        <v>204</v>
      </c>
      <c r="L199" s="77" t="s">
        <v>128</v>
      </c>
      <c r="M199" s="77" t="s">
        <v>342</v>
      </c>
      <c r="N199" s="86">
        <v>90601</v>
      </c>
      <c r="BC199" s="79" t="s">
        <v>2702</v>
      </c>
      <c r="BD199" s="79" t="s">
        <v>2703</v>
      </c>
      <c r="BO199" s="77" t="b">
        <v>0</v>
      </c>
      <c r="BV199" s="77" t="str">
        <f>A199 &amp; "-" &amp; TEXT(B199, "jj/mm/aaaa") &amp; "-" &amp; COUNTIF($A$2:A396, A199)</f>
        <v>CY278KK-12/06/2024-1</v>
      </c>
    </row>
    <row r="200" spans="1:76" x14ac:dyDescent="0.2">
      <c r="A200" s="77" t="s">
        <v>283</v>
      </c>
      <c r="B200" s="88">
        <v>45455.444236111114</v>
      </c>
      <c r="C200" s="77" t="s">
        <v>284</v>
      </c>
      <c r="D200" s="77" t="s">
        <v>957</v>
      </c>
      <c r="E200" s="77" t="b">
        <v>0</v>
      </c>
      <c r="F200" s="77" t="b">
        <v>0</v>
      </c>
      <c r="G200" s="77" t="b">
        <v>0</v>
      </c>
      <c r="H200" s="77" t="b">
        <v>0</v>
      </c>
      <c r="I200" s="77" t="s">
        <v>94</v>
      </c>
      <c r="J200" s="77" t="s">
        <v>2065</v>
      </c>
      <c r="K200" s="77" t="s">
        <v>2705</v>
      </c>
      <c r="L200" s="77" t="s">
        <v>111</v>
      </c>
      <c r="M200" s="77">
        <v>208</v>
      </c>
      <c r="N200" s="86">
        <v>156018</v>
      </c>
      <c r="BC200" s="79" t="s">
        <v>2706</v>
      </c>
      <c r="BD200" s="79" t="s">
        <v>2707</v>
      </c>
      <c r="BO200" s="77" t="b">
        <v>0</v>
      </c>
      <c r="BV200" s="77" t="str">
        <f>A200 &amp; "-" &amp; TEXT(B200, "jj/mm/aaaa") &amp; "-" &amp; COUNTIF($A$2:A398, A200)</f>
        <v>CP685NS-12/06/2024-2</v>
      </c>
    </row>
    <row r="201" spans="1:76" x14ac:dyDescent="0.2">
      <c r="A201" s="77" t="s">
        <v>608</v>
      </c>
      <c r="B201" s="88">
        <v>45455.73809027778</v>
      </c>
      <c r="C201" s="77" t="s">
        <v>609</v>
      </c>
      <c r="D201" s="77" t="s">
        <v>957</v>
      </c>
      <c r="E201" s="77" t="b">
        <v>1</v>
      </c>
      <c r="F201" s="77" t="b">
        <v>0</v>
      </c>
      <c r="G201" s="77" t="b">
        <v>0</v>
      </c>
      <c r="H201" s="77" t="b">
        <v>0</v>
      </c>
      <c r="I201" s="77" t="s">
        <v>254</v>
      </c>
      <c r="J201" s="77" t="s">
        <v>1484</v>
      </c>
      <c r="K201" s="77" t="s">
        <v>114</v>
      </c>
      <c r="L201" s="77" t="s">
        <v>111</v>
      </c>
      <c r="M201" s="77">
        <v>308</v>
      </c>
      <c r="N201" s="86">
        <v>165761</v>
      </c>
      <c r="O201" s="83">
        <v>45700</v>
      </c>
      <c r="BC201" s="79" t="s">
        <v>2726</v>
      </c>
      <c r="BO201" s="77" t="b">
        <v>0</v>
      </c>
      <c r="BV201" s="77" t="str">
        <f>A201 &amp; "-" &amp; TEXT(B201, "jj/mm/aaaa") &amp; "-" &amp; COUNTIF($A$2:A400, A201)</f>
        <v>ER837PG-12/06/2024-1</v>
      </c>
    </row>
    <row r="202" spans="1:76" x14ac:dyDescent="0.2">
      <c r="A202" s="77" t="s">
        <v>2721</v>
      </c>
      <c r="B202" s="88">
        <v>45455.738981481481</v>
      </c>
      <c r="C202" s="77" t="s">
        <v>392</v>
      </c>
      <c r="D202" s="77" t="s">
        <v>957</v>
      </c>
      <c r="E202" s="77" t="b">
        <v>1</v>
      </c>
      <c r="F202" s="77" t="b">
        <v>1</v>
      </c>
      <c r="G202" s="77" t="b">
        <v>1</v>
      </c>
      <c r="H202" s="77" t="b">
        <v>1</v>
      </c>
      <c r="I202" s="77" t="s">
        <v>302</v>
      </c>
      <c r="J202" s="77" t="s">
        <v>1136</v>
      </c>
      <c r="K202" s="77" t="s">
        <v>204</v>
      </c>
      <c r="L202" s="77" t="s">
        <v>128</v>
      </c>
      <c r="M202" s="77" t="s">
        <v>342</v>
      </c>
      <c r="N202" s="86">
        <v>68287</v>
      </c>
      <c r="P202" s="77" t="s">
        <v>1448</v>
      </c>
      <c r="Q202" s="77" t="s">
        <v>1448</v>
      </c>
      <c r="R202" s="77" t="s">
        <v>1448</v>
      </c>
      <c r="S202" s="77" t="s">
        <v>1448</v>
      </c>
      <c r="T202" s="77" t="s">
        <v>1448</v>
      </c>
      <c r="U202" s="77" t="s">
        <v>1448</v>
      </c>
      <c r="V202" s="77" t="s">
        <v>1448</v>
      </c>
      <c r="W202" s="77" t="s">
        <v>1448</v>
      </c>
      <c r="X202" s="77" t="s">
        <v>1448</v>
      </c>
      <c r="Y202" s="77" t="s">
        <v>1448</v>
      </c>
      <c r="Z202" s="77" t="s">
        <v>1448</v>
      </c>
      <c r="AA202" s="77" t="s">
        <v>1448</v>
      </c>
      <c r="AB202" s="77" t="s">
        <v>1448</v>
      </c>
      <c r="AC202" s="77" t="s">
        <v>1448</v>
      </c>
      <c r="AD202" s="77" t="s">
        <v>1448</v>
      </c>
      <c r="AE202" s="77" t="s">
        <v>1448</v>
      </c>
      <c r="AF202" s="77" t="s">
        <v>1448</v>
      </c>
      <c r="AG202" s="77" t="s">
        <v>1448</v>
      </c>
      <c r="AH202" s="77" t="s">
        <v>1448</v>
      </c>
      <c r="AI202" s="77" t="s">
        <v>1448</v>
      </c>
      <c r="AJ202" s="77" t="s">
        <v>1448</v>
      </c>
      <c r="AK202" s="77" t="s">
        <v>1448</v>
      </c>
      <c r="AL202" s="77" t="s">
        <v>1449</v>
      </c>
      <c r="AM202" s="77" t="s">
        <v>1448</v>
      </c>
      <c r="AN202" s="77" t="s">
        <v>1448</v>
      </c>
      <c r="AO202" s="77" t="s">
        <v>1448</v>
      </c>
      <c r="AP202" s="77" t="s">
        <v>1448</v>
      </c>
      <c r="AQ202" s="77" t="s">
        <v>1448</v>
      </c>
      <c r="AR202" s="77" t="s">
        <v>1449</v>
      </c>
      <c r="AS202" s="77" t="s">
        <v>1448</v>
      </c>
      <c r="AT202" s="77" t="s">
        <v>1448</v>
      </c>
      <c r="AU202" s="77" t="s">
        <v>1448</v>
      </c>
      <c r="AV202" s="77" t="s">
        <v>1448</v>
      </c>
      <c r="AW202" s="77" t="s">
        <v>1448</v>
      </c>
      <c r="AX202" s="77" t="s">
        <v>1448</v>
      </c>
      <c r="AY202" s="77" t="s">
        <v>1449</v>
      </c>
      <c r="AZ202" s="77" t="s">
        <v>1448</v>
      </c>
      <c r="BA202" s="77" t="s">
        <v>1448</v>
      </c>
      <c r="BB202" s="77" t="s">
        <v>1448</v>
      </c>
      <c r="BC202" s="79" t="s">
        <v>2731</v>
      </c>
      <c r="BD202" s="79" t="s">
        <v>2730</v>
      </c>
      <c r="BO202" s="77" t="b">
        <v>0</v>
      </c>
      <c r="BV202" s="77" t="str">
        <f>A202 &amp; "-" &amp; TEXT(B202, "jj/mm/aaaa") &amp; "-" &amp; COUNTIF($A$2:A402, A202)</f>
        <v>ER590RY-12/06/2024-1</v>
      </c>
    </row>
    <row r="203" spans="1:76" x14ac:dyDescent="0.2">
      <c r="A203" s="77" t="s">
        <v>2723</v>
      </c>
      <c r="B203" s="88">
        <v>45455.739502314813</v>
      </c>
      <c r="C203" s="77" t="s">
        <v>1013</v>
      </c>
      <c r="D203" s="77" t="s">
        <v>957</v>
      </c>
      <c r="E203" s="77" t="b">
        <v>1</v>
      </c>
      <c r="F203" s="77" t="b">
        <v>1</v>
      </c>
      <c r="G203" s="77" t="b">
        <v>1</v>
      </c>
      <c r="H203" s="77" t="b">
        <v>1</v>
      </c>
      <c r="I203" s="77" t="s">
        <v>302</v>
      </c>
      <c r="J203" s="77" t="s">
        <v>1869</v>
      </c>
      <c r="K203" s="77" t="s">
        <v>81</v>
      </c>
      <c r="L203" s="77" t="s">
        <v>213</v>
      </c>
      <c r="M203" s="77" t="s">
        <v>2724</v>
      </c>
      <c r="N203" s="86">
        <v>112268</v>
      </c>
      <c r="P203" s="77" t="s">
        <v>1450</v>
      </c>
      <c r="Q203" s="77" t="s">
        <v>1448</v>
      </c>
      <c r="R203" s="77" t="s">
        <v>1448</v>
      </c>
      <c r="S203" s="77" t="s">
        <v>1448</v>
      </c>
      <c r="T203" s="77" t="s">
        <v>1448</v>
      </c>
      <c r="U203" s="77" t="s">
        <v>1448</v>
      </c>
      <c r="V203" s="77" t="s">
        <v>1448</v>
      </c>
      <c r="W203" s="77" t="s">
        <v>1448</v>
      </c>
      <c r="X203" s="77" t="s">
        <v>1448</v>
      </c>
      <c r="Y203" s="77" t="s">
        <v>1448</v>
      </c>
      <c r="Z203" s="77" t="s">
        <v>1449</v>
      </c>
      <c r="AA203" s="77" t="s">
        <v>1449</v>
      </c>
      <c r="AB203" s="77" t="s">
        <v>1448</v>
      </c>
      <c r="AC203" s="77" t="s">
        <v>1448</v>
      </c>
      <c r="AD203" s="77" t="s">
        <v>1448</v>
      </c>
      <c r="AE203" s="77" t="s">
        <v>1448</v>
      </c>
      <c r="AF203" s="77" t="s">
        <v>1448</v>
      </c>
      <c r="AG203" s="77" t="s">
        <v>1448</v>
      </c>
      <c r="AH203" s="77" t="s">
        <v>1448</v>
      </c>
      <c r="AI203" s="77" t="s">
        <v>1448</v>
      </c>
      <c r="AJ203" s="77" t="s">
        <v>1449</v>
      </c>
      <c r="AK203" s="77" t="s">
        <v>1448</v>
      </c>
      <c r="AL203" s="77" t="s">
        <v>1448</v>
      </c>
      <c r="AM203" s="77" t="s">
        <v>1449</v>
      </c>
      <c r="AN203" s="77" t="s">
        <v>1449</v>
      </c>
      <c r="AO203" s="77" t="s">
        <v>1448</v>
      </c>
      <c r="AP203" s="77" t="s">
        <v>1448</v>
      </c>
      <c r="AQ203" s="77" t="s">
        <v>1449</v>
      </c>
      <c r="AR203" s="77" t="s">
        <v>1448</v>
      </c>
      <c r="AS203" s="77" t="s">
        <v>1448</v>
      </c>
      <c r="AT203" s="77" t="s">
        <v>1448</v>
      </c>
      <c r="AU203" s="77" t="s">
        <v>1448</v>
      </c>
      <c r="AV203" s="77" t="s">
        <v>1448</v>
      </c>
      <c r="AW203" s="77" t="s">
        <v>1448</v>
      </c>
      <c r="AX203" s="77" t="s">
        <v>1448</v>
      </c>
      <c r="AY203" s="77" t="s">
        <v>1448</v>
      </c>
      <c r="AZ203" s="77" t="s">
        <v>1448</v>
      </c>
      <c r="BA203" s="77" t="s">
        <v>1449</v>
      </c>
      <c r="BB203" s="77" t="s">
        <v>1448</v>
      </c>
      <c r="BC203" s="79" t="s">
        <v>2740</v>
      </c>
      <c r="BD203" s="79" t="s">
        <v>2741</v>
      </c>
      <c r="BE203" s="79" t="s">
        <v>2742</v>
      </c>
      <c r="BO203" s="77" t="b">
        <v>0</v>
      </c>
      <c r="BV203" s="77" t="str">
        <f>A203 &amp; "-" &amp; TEXT(B203, "jj/mm/aaaa") &amp; "-" &amp; COUNTIF($A$2:A404, A203)</f>
        <v>FX033HQ-12/06/2024-1</v>
      </c>
    </row>
    <row r="204" spans="1:76" x14ac:dyDescent="0.2">
      <c r="A204" s="77" t="s">
        <v>2717</v>
      </c>
      <c r="B204" s="88">
        <v>45455.740381944444</v>
      </c>
      <c r="C204" s="77" t="s">
        <v>2718</v>
      </c>
      <c r="D204" s="77" t="s">
        <v>957</v>
      </c>
      <c r="E204" s="77" t="b">
        <v>1</v>
      </c>
      <c r="F204" s="77" t="b">
        <v>1</v>
      </c>
      <c r="G204" s="77" t="b">
        <v>1</v>
      </c>
      <c r="H204" s="77" t="b">
        <v>0</v>
      </c>
      <c r="I204" s="77" t="s">
        <v>1942</v>
      </c>
      <c r="J204" s="77" t="s">
        <v>1153</v>
      </c>
      <c r="K204" s="77" t="s">
        <v>77</v>
      </c>
      <c r="L204" s="77" t="s">
        <v>73</v>
      </c>
      <c r="M204" s="77" t="s">
        <v>2719</v>
      </c>
      <c r="N204" s="86">
        <v>37639</v>
      </c>
      <c r="BC204" s="79" t="s">
        <v>2728</v>
      </c>
      <c r="BD204" s="79" t="s">
        <v>2729</v>
      </c>
      <c r="BO204" s="77" t="b">
        <v>0</v>
      </c>
      <c r="BV204" s="77" t="str">
        <f>A204 &amp; "-" &amp; TEXT(B204, "jj/mm/aaaa") &amp; "-" &amp; COUNTIF($A$2:A406, A204)</f>
        <v>EH182GP-12/06/2024-1</v>
      </c>
    </row>
    <row r="205" spans="1:76" x14ac:dyDescent="0.2">
      <c r="A205" s="77" t="s">
        <v>2733</v>
      </c>
      <c r="B205" s="88">
        <v>45457.372696759259</v>
      </c>
      <c r="C205" s="77" t="s">
        <v>2734</v>
      </c>
      <c r="D205" s="77" t="s">
        <v>957</v>
      </c>
      <c r="E205" s="77" t="b">
        <v>1</v>
      </c>
      <c r="F205" s="77" t="b">
        <v>1</v>
      </c>
      <c r="G205" s="77" t="b">
        <v>1</v>
      </c>
      <c r="H205" s="77" t="b">
        <v>0</v>
      </c>
      <c r="I205" s="77" t="s">
        <v>2738</v>
      </c>
      <c r="J205" s="77" t="s">
        <v>1173</v>
      </c>
      <c r="K205" s="77" t="s">
        <v>2737</v>
      </c>
      <c r="L205" s="77" t="s">
        <v>1788</v>
      </c>
      <c r="M205" s="77" t="s">
        <v>1721</v>
      </c>
      <c r="N205" s="86">
        <v>121611</v>
      </c>
      <c r="BC205" s="79" t="s">
        <v>2739</v>
      </c>
      <c r="BO205" s="77" t="b">
        <v>0</v>
      </c>
      <c r="BV205" s="77" t="str">
        <f>A205 &amp; "-" &amp; TEXT(B205, "jj/mm/aaaa") &amp; "-" &amp; COUNTIF($A$2:A408, A205)</f>
        <v>EW691RL-14/06/2024-1</v>
      </c>
    </row>
    <row r="206" spans="1:76" x14ac:dyDescent="0.2">
      <c r="A206" s="77" t="s">
        <v>2744</v>
      </c>
      <c r="B206" s="88">
        <v>45460.474363425928</v>
      </c>
      <c r="C206" s="77" t="s">
        <v>2745</v>
      </c>
      <c r="D206" s="77" t="s">
        <v>957</v>
      </c>
      <c r="E206" s="77" t="b">
        <v>0</v>
      </c>
      <c r="F206" s="77" t="b">
        <v>0</v>
      </c>
      <c r="G206" s="77" t="b">
        <v>0</v>
      </c>
      <c r="H206" s="77" t="b">
        <v>0</v>
      </c>
      <c r="I206" s="77" t="s">
        <v>94</v>
      </c>
      <c r="J206" s="77" t="s">
        <v>1104</v>
      </c>
      <c r="K206" s="77" t="s">
        <v>114</v>
      </c>
      <c r="L206" s="77" t="s">
        <v>111</v>
      </c>
      <c r="M206" s="77" t="s">
        <v>418</v>
      </c>
      <c r="N206" s="86">
        <v>128863</v>
      </c>
      <c r="P206" s="77" t="s">
        <v>1448</v>
      </c>
      <c r="Q206" s="77" t="s">
        <v>1448</v>
      </c>
      <c r="R206" s="77" t="s">
        <v>1448</v>
      </c>
      <c r="S206" s="77" t="s">
        <v>1448</v>
      </c>
      <c r="T206" s="77" t="s">
        <v>1448</v>
      </c>
      <c r="U206" s="77" t="s">
        <v>1448</v>
      </c>
      <c r="V206" s="77" t="s">
        <v>1449</v>
      </c>
      <c r="W206" s="77" t="s">
        <v>1449</v>
      </c>
      <c r="X206" s="77" t="s">
        <v>1448</v>
      </c>
      <c r="Y206" s="77" t="s">
        <v>1448</v>
      </c>
      <c r="Z206" s="77" t="s">
        <v>1448</v>
      </c>
      <c r="AA206" s="77" t="s">
        <v>1448</v>
      </c>
      <c r="AB206" s="77" t="s">
        <v>1448</v>
      </c>
      <c r="AC206" s="77" t="s">
        <v>1448</v>
      </c>
      <c r="AD206" s="77" t="s">
        <v>1448</v>
      </c>
      <c r="AE206" s="77" t="s">
        <v>1448</v>
      </c>
      <c r="AF206" s="77" t="s">
        <v>1448</v>
      </c>
      <c r="AG206" s="77" t="s">
        <v>1448</v>
      </c>
      <c r="AH206" s="77" t="s">
        <v>1448</v>
      </c>
      <c r="AI206" s="77" t="s">
        <v>1448</v>
      </c>
      <c r="AJ206" s="77" t="s">
        <v>1449</v>
      </c>
      <c r="AK206" s="77" t="s">
        <v>1448</v>
      </c>
      <c r="AL206" s="77" t="s">
        <v>1448</v>
      </c>
      <c r="AM206" s="77" t="s">
        <v>1448</v>
      </c>
      <c r="AN206" s="77" t="s">
        <v>1448</v>
      </c>
      <c r="AO206" s="77" t="s">
        <v>1448</v>
      </c>
      <c r="AQ206" s="77" t="s">
        <v>1448</v>
      </c>
      <c r="AR206" s="77" t="s">
        <v>1448</v>
      </c>
      <c r="AS206" s="77" t="s">
        <v>1449</v>
      </c>
      <c r="AT206" s="77" t="s">
        <v>1448</v>
      </c>
      <c r="AU206" s="77" t="s">
        <v>1448</v>
      </c>
      <c r="AV206" s="77" t="s">
        <v>1448</v>
      </c>
      <c r="AW206" s="77" t="s">
        <v>1448</v>
      </c>
      <c r="AX206" s="77" t="s">
        <v>1448</v>
      </c>
      <c r="AY206" s="77" t="s">
        <v>1448</v>
      </c>
      <c r="AZ206" s="77" t="s">
        <v>1448</v>
      </c>
      <c r="BA206" s="77" t="s">
        <v>1449</v>
      </c>
      <c r="BB206" s="77" t="s">
        <v>1448</v>
      </c>
      <c r="BC206" s="79" t="s">
        <v>2748</v>
      </c>
      <c r="BD206" s="79" t="s">
        <v>2749</v>
      </c>
      <c r="BO206" s="77" t="b">
        <v>0</v>
      </c>
      <c r="BV206" s="77" t="str">
        <f>A206 &amp; "-" &amp; TEXT(B206, "jj/mm/aaaa") &amp; "-" &amp; COUNTIF($A$2:A410, A206)</f>
        <v>EJ857TN-17/06/2024-1</v>
      </c>
    </row>
    <row r="207" spans="1:76" x14ac:dyDescent="0.2">
      <c r="A207" s="77" t="s">
        <v>2750</v>
      </c>
      <c r="B207" s="88">
        <v>45460.605381944442</v>
      </c>
      <c r="C207" s="77" t="s">
        <v>1017</v>
      </c>
      <c r="D207" s="77" t="s">
        <v>957</v>
      </c>
      <c r="E207" s="77" t="b">
        <v>1</v>
      </c>
      <c r="F207" s="77" t="b">
        <v>1</v>
      </c>
      <c r="G207" s="77" t="b">
        <v>1</v>
      </c>
      <c r="H207" s="77" t="b">
        <v>1</v>
      </c>
      <c r="L207" s="77" t="s">
        <v>139</v>
      </c>
      <c r="M207" s="77" t="s">
        <v>239</v>
      </c>
      <c r="N207" s="86">
        <v>77415</v>
      </c>
      <c r="P207" s="77" t="s">
        <v>1448</v>
      </c>
      <c r="Q207" s="77" t="s">
        <v>1448</v>
      </c>
      <c r="R207" s="77" t="s">
        <v>1448</v>
      </c>
      <c r="S207" s="77" t="s">
        <v>1448</v>
      </c>
      <c r="T207" s="77" t="s">
        <v>1448</v>
      </c>
      <c r="U207" s="77" t="s">
        <v>1448</v>
      </c>
      <c r="V207" s="77" t="s">
        <v>1449</v>
      </c>
      <c r="W207" s="77" t="s">
        <v>1448</v>
      </c>
      <c r="X207" s="77" t="s">
        <v>1448</v>
      </c>
      <c r="Y207" s="77" t="s">
        <v>1448</v>
      </c>
      <c r="Z207" s="77" t="s">
        <v>1448</v>
      </c>
      <c r="AA207" s="77" t="s">
        <v>1448</v>
      </c>
      <c r="AB207" s="77" t="s">
        <v>1448</v>
      </c>
      <c r="AC207" s="77" t="s">
        <v>1448</v>
      </c>
      <c r="AD207" s="77" t="s">
        <v>1448</v>
      </c>
      <c r="AE207" s="77" t="s">
        <v>1448</v>
      </c>
      <c r="AF207" s="77" t="s">
        <v>1448</v>
      </c>
      <c r="AG207" s="77" t="s">
        <v>1448</v>
      </c>
      <c r="AH207" s="77" t="s">
        <v>1448</v>
      </c>
      <c r="AI207" s="77" t="s">
        <v>1448</v>
      </c>
      <c r="AK207" s="77" t="s">
        <v>1448</v>
      </c>
      <c r="AL207" s="77" t="s">
        <v>1448</v>
      </c>
      <c r="AM207" s="77" t="s">
        <v>1448</v>
      </c>
      <c r="AN207" s="77" t="s">
        <v>1448</v>
      </c>
      <c r="AO207" s="77" t="s">
        <v>1448</v>
      </c>
      <c r="AP207" s="77" t="s">
        <v>1448</v>
      </c>
      <c r="AQ207" s="77" t="s">
        <v>1448</v>
      </c>
      <c r="AR207" s="77" t="s">
        <v>1448</v>
      </c>
      <c r="AS207" s="77" t="s">
        <v>1448</v>
      </c>
      <c r="AT207" s="77" t="s">
        <v>1448</v>
      </c>
      <c r="AU207" s="77" t="s">
        <v>1448</v>
      </c>
      <c r="AV207" s="77" t="s">
        <v>1448</v>
      </c>
      <c r="AW207" s="77" t="s">
        <v>1448</v>
      </c>
      <c r="AX207" s="77" t="s">
        <v>1448</v>
      </c>
      <c r="AY207" s="77" t="s">
        <v>1448</v>
      </c>
      <c r="AZ207" s="77" t="s">
        <v>1448</v>
      </c>
      <c r="BA207" s="77" t="s">
        <v>1449</v>
      </c>
      <c r="BB207" s="77" t="s">
        <v>1448</v>
      </c>
      <c r="BC207" s="79" t="s">
        <v>2753</v>
      </c>
      <c r="BO207" s="77" t="b">
        <v>0</v>
      </c>
      <c r="BV207" s="77" t="str">
        <f>A207 &amp; "-" &amp; TEXT(B207, "jj/mm/aaaa") &amp; "-" &amp; COUNTIF($A$2:A412, A207)</f>
        <v>FK263RH-17/06/2024-2</v>
      </c>
    </row>
    <row r="208" spans="1:76" x14ac:dyDescent="0.2">
      <c r="A208" s="77" t="s">
        <v>2750</v>
      </c>
      <c r="B208" s="88">
        <v>45460.605381944442</v>
      </c>
      <c r="C208" s="77" t="s">
        <v>1017</v>
      </c>
      <c r="D208" s="77" t="s">
        <v>957</v>
      </c>
      <c r="E208" s="77" t="b">
        <v>1</v>
      </c>
      <c r="F208" s="77" t="b">
        <v>1</v>
      </c>
      <c r="G208" s="77" t="b">
        <v>1</v>
      </c>
      <c r="H208" s="77" t="b">
        <v>1</v>
      </c>
      <c r="L208" s="77" t="s">
        <v>139</v>
      </c>
      <c r="M208" s="77" t="s">
        <v>239</v>
      </c>
      <c r="N208" s="86">
        <v>77415</v>
      </c>
      <c r="P208" s="77" t="s">
        <v>1448</v>
      </c>
      <c r="Q208" s="77" t="s">
        <v>1448</v>
      </c>
      <c r="R208" s="77" t="s">
        <v>1448</v>
      </c>
      <c r="S208" s="77" t="s">
        <v>1448</v>
      </c>
      <c r="T208" s="77" t="s">
        <v>1448</v>
      </c>
      <c r="U208" s="77" t="s">
        <v>1448</v>
      </c>
      <c r="V208" s="77" t="s">
        <v>1449</v>
      </c>
      <c r="W208" s="77" t="s">
        <v>1448</v>
      </c>
      <c r="X208" s="77" t="s">
        <v>1448</v>
      </c>
      <c r="Y208" s="77" t="s">
        <v>1448</v>
      </c>
      <c r="Z208" s="77" t="s">
        <v>1448</v>
      </c>
      <c r="AA208" s="77" t="s">
        <v>1448</v>
      </c>
      <c r="AB208" s="77" t="s">
        <v>1448</v>
      </c>
      <c r="AC208" s="77" t="s">
        <v>1448</v>
      </c>
      <c r="AD208" s="77" t="s">
        <v>1448</v>
      </c>
      <c r="AE208" s="77" t="s">
        <v>1448</v>
      </c>
      <c r="AF208" s="77" t="s">
        <v>1448</v>
      </c>
      <c r="AG208" s="77" t="s">
        <v>1448</v>
      </c>
      <c r="AH208" s="77" t="s">
        <v>1448</v>
      </c>
      <c r="AI208" s="77" t="s">
        <v>1448</v>
      </c>
      <c r="AK208" s="77" t="s">
        <v>1448</v>
      </c>
      <c r="AL208" s="77" t="s">
        <v>1448</v>
      </c>
      <c r="AM208" s="77" t="s">
        <v>1448</v>
      </c>
      <c r="AN208" s="77" t="s">
        <v>1448</v>
      </c>
      <c r="AO208" s="77" t="s">
        <v>1448</v>
      </c>
      <c r="AP208" s="77" t="s">
        <v>1448</v>
      </c>
      <c r="AQ208" s="77" t="s">
        <v>1448</v>
      </c>
      <c r="AR208" s="77" t="s">
        <v>1448</v>
      </c>
      <c r="AS208" s="77" t="s">
        <v>1448</v>
      </c>
      <c r="AT208" s="77" t="s">
        <v>1448</v>
      </c>
      <c r="AU208" s="77" t="s">
        <v>1448</v>
      </c>
      <c r="AV208" s="77" t="s">
        <v>1448</v>
      </c>
      <c r="AW208" s="77" t="s">
        <v>1448</v>
      </c>
      <c r="AX208" s="77" t="s">
        <v>1448</v>
      </c>
      <c r="AY208" s="77" t="s">
        <v>1448</v>
      </c>
      <c r="AZ208" s="77" t="s">
        <v>1448</v>
      </c>
      <c r="BA208" s="77" t="s">
        <v>1449</v>
      </c>
      <c r="BB208" s="77" t="s">
        <v>1448</v>
      </c>
      <c r="BC208" s="79" t="s">
        <v>2753</v>
      </c>
      <c r="BO208" s="77" t="b">
        <v>0</v>
      </c>
      <c r="BV208" s="77" t="str">
        <f>A208 &amp; "-" &amp; TEXT(B208, "jj/mm/aaaa") &amp; "-" &amp; COUNTIF($A$2:A414, A208)</f>
        <v>FK263RH-17/06/2024-2</v>
      </c>
    </row>
    <row r="209" spans="1:74" x14ac:dyDescent="0.2">
      <c r="A209" s="77" t="s">
        <v>2754</v>
      </c>
      <c r="B209" s="88">
        <v>45461.60670138889</v>
      </c>
      <c r="C209" s="77" t="s">
        <v>2755</v>
      </c>
      <c r="D209" s="77" t="s">
        <v>957</v>
      </c>
      <c r="E209" s="77" t="b">
        <v>0</v>
      </c>
      <c r="F209" s="77" t="b">
        <v>0</v>
      </c>
      <c r="G209" s="77" t="b">
        <v>0</v>
      </c>
      <c r="H209" s="77" t="b">
        <v>0</v>
      </c>
      <c r="I209" s="77" t="s">
        <v>675</v>
      </c>
      <c r="J209" s="77" t="s">
        <v>1136</v>
      </c>
      <c r="K209" s="77" t="s">
        <v>2758</v>
      </c>
      <c r="L209" s="77" t="s">
        <v>128</v>
      </c>
      <c r="M209" s="77" t="s">
        <v>706</v>
      </c>
      <c r="N209" s="86">
        <v>185765</v>
      </c>
      <c r="O209" s="77" t="s">
        <v>2815</v>
      </c>
      <c r="P209" s="77" t="s">
        <v>1448</v>
      </c>
      <c r="Q209" s="77" t="s">
        <v>1448</v>
      </c>
      <c r="R209" s="77" t="s">
        <v>1448</v>
      </c>
      <c r="S209" s="77" t="s">
        <v>1448</v>
      </c>
      <c r="T209" s="77" t="s">
        <v>1448</v>
      </c>
      <c r="U209" s="77" t="s">
        <v>1448</v>
      </c>
      <c r="V209" s="77" t="s">
        <v>1448</v>
      </c>
      <c r="W209" s="77" t="s">
        <v>1448</v>
      </c>
      <c r="X209" s="77" t="s">
        <v>1448</v>
      </c>
      <c r="Y209" s="77" t="s">
        <v>1448</v>
      </c>
      <c r="Z209" s="77" t="s">
        <v>1448</v>
      </c>
      <c r="AA209" s="77" t="s">
        <v>1449</v>
      </c>
      <c r="AB209" s="77" t="s">
        <v>1448</v>
      </c>
      <c r="AC209" s="77" t="s">
        <v>1448</v>
      </c>
      <c r="AD209" s="77" t="s">
        <v>1448</v>
      </c>
      <c r="AE209" s="77" t="s">
        <v>1448</v>
      </c>
      <c r="AF209" s="77" t="s">
        <v>1448</v>
      </c>
      <c r="AG209" s="77" t="s">
        <v>1448</v>
      </c>
      <c r="AH209" s="77" t="s">
        <v>1448</v>
      </c>
      <c r="AI209" s="77" t="s">
        <v>1448</v>
      </c>
      <c r="AJ209" s="77" t="s">
        <v>1448</v>
      </c>
      <c r="AK209" s="77" t="s">
        <v>1448</v>
      </c>
      <c r="AL209" s="77" t="s">
        <v>1448</v>
      </c>
      <c r="AM209" s="77" t="s">
        <v>1448</v>
      </c>
      <c r="AN209" s="77" t="s">
        <v>1448</v>
      </c>
      <c r="AO209" s="77" t="s">
        <v>1449</v>
      </c>
      <c r="AP209" s="77" t="s">
        <v>1448</v>
      </c>
      <c r="AQ209" s="77" t="s">
        <v>1448</v>
      </c>
      <c r="AR209" s="77" t="s">
        <v>1448</v>
      </c>
      <c r="AS209" s="77" t="s">
        <v>1448</v>
      </c>
      <c r="AT209" s="77" t="s">
        <v>1448</v>
      </c>
      <c r="AU209" s="77" t="s">
        <v>1448</v>
      </c>
      <c r="AV209" s="77" t="s">
        <v>1448</v>
      </c>
      <c r="AW209" s="77" t="s">
        <v>1448</v>
      </c>
      <c r="AX209" s="77" t="s">
        <v>1448</v>
      </c>
      <c r="AY209" s="77" t="s">
        <v>1448</v>
      </c>
      <c r="AZ209" s="77" t="s">
        <v>1448</v>
      </c>
      <c r="BA209" s="77" t="s">
        <v>1448</v>
      </c>
      <c r="BB209" s="77" t="s">
        <v>1448</v>
      </c>
      <c r="BC209" s="79" t="s">
        <v>2816</v>
      </c>
      <c r="BD209" s="79" t="s">
        <v>2817</v>
      </c>
      <c r="BE209" s="79" t="s">
        <v>2818</v>
      </c>
      <c r="BF209" s="79" t="s">
        <v>2823</v>
      </c>
      <c r="BO209" s="77" t="b">
        <v>0</v>
      </c>
      <c r="BV209" s="77" t="str">
        <f>A209 &amp; "-" &amp; TEXT(B209, "jj/mm/aaaa") &amp; "-" &amp; COUNTIF($A$2:A416, A209)</f>
        <v>CZ743ER-18/06/2024-1</v>
      </c>
    </row>
    <row r="210" spans="1:74" x14ac:dyDescent="0.2">
      <c r="A210" s="77" t="s">
        <v>2759</v>
      </c>
      <c r="B210" s="88">
        <v>45461.61377314815</v>
      </c>
      <c r="C210" s="77" t="s">
        <v>2760</v>
      </c>
      <c r="D210" s="77" t="s">
        <v>957</v>
      </c>
      <c r="E210" s="77" t="b">
        <v>1</v>
      </c>
      <c r="F210" s="77" t="b">
        <v>0</v>
      </c>
      <c r="G210" s="77" t="b">
        <v>1</v>
      </c>
      <c r="H210" s="77" t="b">
        <v>0</v>
      </c>
      <c r="I210" s="77" t="s">
        <v>2764</v>
      </c>
      <c r="J210" s="77" t="s">
        <v>2763</v>
      </c>
      <c r="K210" s="77" t="s">
        <v>2434</v>
      </c>
      <c r="L210" s="77" t="s">
        <v>111</v>
      </c>
      <c r="M210" s="77">
        <v>308</v>
      </c>
      <c r="N210" s="86">
        <v>119808</v>
      </c>
      <c r="BC210" s="79" t="s">
        <v>2765</v>
      </c>
      <c r="BD210" s="79" t="s">
        <v>2766</v>
      </c>
      <c r="BE210" s="79" t="s">
        <v>2767</v>
      </c>
      <c r="BO210" s="77" t="b">
        <v>0</v>
      </c>
      <c r="BV210" s="77" t="str">
        <f>A210 &amp; "-" &amp; TEXT(B210, "jj/mm/aaaa") &amp; "-" &amp; COUNTIF($A$2:A418, A210)</f>
        <v>FD444PW-18/06/2024-1</v>
      </c>
    </row>
    <row r="211" spans="1:74" x14ac:dyDescent="0.2">
      <c r="A211" s="77" t="s">
        <v>2769</v>
      </c>
      <c r="B211" s="88">
        <v>45461.715370370373</v>
      </c>
      <c r="C211" s="77" t="s">
        <v>1017</v>
      </c>
      <c r="D211" s="77" t="s">
        <v>957</v>
      </c>
      <c r="E211" s="77" t="b">
        <v>1</v>
      </c>
      <c r="F211" s="77" t="b">
        <v>1</v>
      </c>
      <c r="G211" s="77" t="b">
        <v>1</v>
      </c>
      <c r="H211" s="77" t="b">
        <v>1</v>
      </c>
      <c r="I211" s="77" t="s">
        <v>82</v>
      </c>
      <c r="J211" s="77" t="s">
        <v>1136</v>
      </c>
      <c r="K211" s="77" t="s">
        <v>93</v>
      </c>
      <c r="L211" s="77" t="s">
        <v>1867</v>
      </c>
      <c r="M211" s="77" t="s">
        <v>2415</v>
      </c>
      <c r="N211" s="86">
        <v>200005</v>
      </c>
      <c r="O211" s="77" t="s">
        <v>2788</v>
      </c>
      <c r="P211" s="77" t="s">
        <v>1448</v>
      </c>
      <c r="Q211" s="77" t="s">
        <v>1448</v>
      </c>
      <c r="R211" s="77" t="s">
        <v>1448</v>
      </c>
      <c r="S211" s="77" t="s">
        <v>1448</v>
      </c>
      <c r="T211" s="77" t="s">
        <v>1448</v>
      </c>
      <c r="U211" s="77" t="s">
        <v>1448</v>
      </c>
      <c r="V211" s="77" t="s">
        <v>1449</v>
      </c>
      <c r="W211" s="77" t="s">
        <v>1448</v>
      </c>
      <c r="X211" s="77" t="s">
        <v>1448</v>
      </c>
      <c r="Y211" s="77" t="s">
        <v>1448</v>
      </c>
      <c r="Z211" s="77" t="s">
        <v>1448</v>
      </c>
      <c r="AA211" s="77" t="s">
        <v>1448</v>
      </c>
      <c r="AB211" s="77" t="s">
        <v>1448</v>
      </c>
      <c r="AC211" s="77" t="s">
        <v>1448</v>
      </c>
      <c r="AD211" s="77" t="s">
        <v>1448</v>
      </c>
      <c r="AF211" s="77" t="s">
        <v>1448</v>
      </c>
      <c r="AG211" s="77" t="s">
        <v>1448</v>
      </c>
      <c r="AH211" s="77" t="s">
        <v>1448</v>
      </c>
      <c r="AI211" s="77" t="s">
        <v>1448</v>
      </c>
      <c r="AJ211" s="77" t="s">
        <v>1448</v>
      </c>
      <c r="AK211" s="77" t="s">
        <v>1448</v>
      </c>
      <c r="AL211" s="77" t="s">
        <v>1448</v>
      </c>
      <c r="AM211" s="77" t="s">
        <v>1449</v>
      </c>
      <c r="AN211" s="77" t="s">
        <v>1448</v>
      </c>
      <c r="AO211" s="77" t="s">
        <v>1448</v>
      </c>
      <c r="AP211" s="77" t="s">
        <v>1448</v>
      </c>
      <c r="AQ211" s="77" t="s">
        <v>1448</v>
      </c>
      <c r="AR211" s="77" t="s">
        <v>1448</v>
      </c>
      <c r="AS211" s="77" t="s">
        <v>1448</v>
      </c>
      <c r="AT211" s="77" t="s">
        <v>1448</v>
      </c>
      <c r="AU211" s="77" t="s">
        <v>1448</v>
      </c>
      <c r="AV211" s="77" t="s">
        <v>1448</v>
      </c>
      <c r="AW211" s="77" t="s">
        <v>1448</v>
      </c>
      <c r="AX211" s="77" t="s">
        <v>1448</v>
      </c>
      <c r="AY211" s="77" t="s">
        <v>1448</v>
      </c>
      <c r="AZ211" s="77" t="s">
        <v>1448</v>
      </c>
      <c r="BA211" s="77" t="s">
        <v>1448</v>
      </c>
      <c r="BB211" s="77" t="s">
        <v>1448</v>
      </c>
      <c r="BC211" s="79" t="s">
        <v>2824</v>
      </c>
      <c r="BE211" s="79" t="s">
        <v>2789</v>
      </c>
      <c r="BO211" s="77" t="b">
        <v>0</v>
      </c>
      <c r="BV211" s="77" t="str">
        <f>A211 &amp; "-" &amp; TEXT(B211, "jj/mm/aaaa") &amp; "-" &amp; COUNTIF($A$2:A420, A211)</f>
        <v>EG544ZF-18/06/2024-1</v>
      </c>
    </row>
    <row r="212" spans="1:74" x14ac:dyDescent="0.2">
      <c r="A212" s="77" t="s">
        <v>2773</v>
      </c>
      <c r="B212" s="88">
        <v>45462.392743055556</v>
      </c>
      <c r="C212" s="77" t="s">
        <v>2774</v>
      </c>
      <c r="D212" s="77" t="s">
        <v>957</v>
      </c>
      <c r="E212" s="77" t="b">
        <v>1</v>
      </c>
      <c r="F212" s="77" t="b">
        <v>1</v>
      </c>
      <c r="G212" s="77" t="b">
        <v>1</v>
      </c>
      <c r="H212" s="77" t="b">
        <v>0</v>
      </c>
      <c r="I212" s="77" t="s">
        <v>2777</v>
      </c>
      <c r="J212" s="77" t="s">
        <v>1470</v>
      </c>
      <c r="K212" s="77" t="s">
        <v>2777</v>
      </c>
      <c r="L212" s="77" t="s">
        <v>120</v>
      </c>
      <c r="M212" s="77" t="s">
        <v>530</v>
      </c>
      <c r="N212" s="86">
        <v>110178</v>
      </c>
      <c r="BC212" s="79" t="s">
        <v>2778</v>
      </c>
      <c r="BD212" s="79" t="s">
        <v>2779</v>
      </c>
      <c r="BO212" s="77" t="b">
        <v>0</v>
      </c>
      <c r="BV212" s="77" t="str">
        <f>A212 &amp; "-" &amp; TEXT(B212, "jj/mm/aaaa") &amp; "-" &amp; COUNTIF($A$2:A422, A212)</f>
        <v>FF276PH-19/06/2024-1</v>
      </c>
    </row>
    <row r="213" spans="1:74" x14ac:dyDescent="0.2">
      <c r="A213" s="77" t="s">
        <v>2780</v>
      </c>
      <c r="B213" s="88">
        <v>45462.398287037038</v>
      </c>
      <c r="C213" s="77" t="s">
        <v>2781</v>
      </c>
      <c r="D213" s="77" t="s">
        <v>957</v>
      </c>
      <c r="E213" s="77" t="b">
        <v>1</v>
      </c>
      <c r="F213" s="77" t="b">
        <v>0</v>
      </c>
      <c r="G213" s="77" t="b">
        <v>0</v>
      </c>
      <c r="H213" s="77" t="b">
        <v>0</v>
      </c>
      <c r="I213" s="77" t="s">
        <v>302</v>
      </c>
      <c r="J213" s="77" t="s">
        <v>1173</v>
      </c>
      <c r="K213" s="77" t="s">
        <v>1792</v>
      </c>
      <c r="L213" s="77" t="s">
        <v>173</v>
      </c>
      <c r="M213" s="77" t="s">
        <v>174</v>
      </c>
      <c r="N213" s="86">
        <v>42233</v>
      </c>
      <c r="P213" s="77" t="s">
        <v>1450</v>
      </c>
      <c r="Q213" s="77" t="s">
        <v>1448</v>
      </c>
      <c r="R213" s="77" t="s">
        <v>1449</v>
      </c>
      <c r="S213" s="77" t="s">
        <v>1448</v>
      </c>
      <c r="T213" s="77" t="s">
        <v>1449</v>
      </c>
      <c r="U213" s="77" t="s">
        <v>1448</v>
      </c>
      <c r="V213" s="77" t="s">
        <v>1448</v>
      </c>
      <c r="W213" s="77" t="s">
        <v>1448</v>
      </c>
      <c r="X213" s="77" t="s">
        <v>1448</v>
      </c>
      <c r="Y213" s="77" t="s">
        <v>1448</v>
      </c>
      <c r="Z213" s="77" t="s">
        <v>1448</v>
      </c>
      <c r="AA213" s="77" t="s">
        <v>1448</v>
      </c>
      <c r="AB213" s="77" t="s">
        <v>1449</v>
      </c>
      <c r="AC213" s="77" t="s">
        <v>1448</v>
      </c>
      <c r="AD213" s="77" t="s">
        <v>1448</v>
      </c>
      <c r="AE213" s="77" t="s">
        <v>1448</v>
      </c>
      <c r="AF213" s="77" t="s">
        <v>1448</v>
      </c>
      <c r="AG213" s="77" t="s">
        <v>1448</v>
      </c>
      <c r="AH213" s="77" t="s">
        <v>1448</v>
      </c>
      <c r="AI213" s="77" t="s">
        <v>1448</v>
      </c>
      <c r="AJ213" s="77" t="s">
        <v>1448</v>
      </c>
      <c r="AK213" s="77" t="s">
        <v>1448</v>
      </c>
      <c r="AL213" s="77" t="s">
        <v>1448</v>
      </c>
      <c r="AM213" s="77" t="s">
        <v>1448</v>
      </c>
      <c r="AN213" s="77" t="s">
        <v>1448</v>
      </c>
      <c r="AO213" s="77" t="s">
        <v>1448</v>
      </c>
      <c r="AP213" s="77" t="s">
        <v>1448</v>
      </c>
      <c r="AQ213" s="77" t="s">
        <v>1448</v>
      </c>
      <c r="AR213" s="77" t="s">
        <v>1448</v>
      </c>
      <c r="AS213" s="77" t="s">
        <v>1448</v>
      </c>
      <c r="AT213" s="77" t="s">
        <v>1448</v>
      </c>
      <c r="AU213" s="77" t="s">
        <v>1448</v>
      </c>
      <c r="AV213" s="77" t="s">
        <v>1448</v>
      </c>
      <c r="AW213" s="77" t="s">
        <v>1448</v>
      </c>
      <c r="AX213" s="77" t="s">
        <v>1448</v>
      </c>
      <c r="AY213" s="77" t="s">
        <v>1448</v>
      </c>
      <c r="AZ213" s="77" t="s">
        <v>1448</v>
      </c>
      <c r="BA213" s="77" t="s">
        <v>1448</v>
      </c>
      <c r="BB213" s="77" t="s">
        <v>1448</v>
      </c>
      <c r="BC213" s="79" t="s">
        <v>2784</v>
      </c>
      <c r="BD213" s="79" t="s">
        <v>2785</v>
      </c>
      <c r="BE213" s="79" t="s">
        <v>2786</v>
      </c>
      <c r="BF213" s="79" t="s">
        <v>2787</v>
      </c>
      <c r="BO213" s="77" t="b">
        <v>0</v>
      </c>
      <c r="BV213" s="77" t="str">
        <f>A213 &amp; "-" &amp; TEXT(B213, "jj/mm/aaaa") &amp; "-" &amp; COUNTIF($A$2:A424, A213)</f>
        <v>EX547MD-19/06/2024-1</v>
      </c>
    </row>
    <row r="214" spans="1:74" x14ac:dyDescent="0.2">
      <c r="A214" s="77" t="s">
        <v>2790</v>
      </c>
      <c r="B214" s="88">
        <v>45463.372418981482</v>
      </c>
      <c r="C214" s="77" t="s">
        <v>2791</v>
      </c>
      <c r="D214" s="77" t="s">
        <v>957</v>
      </c>
      <c r="E214" s="77" t="b">
        <v>1</v>
      </c>
      <c r="F214" s="77" t="b">
        <v>0</v>
      </c>
      <c r="G214" s="77" t="b">
        <v>0</v>
      </c>
      <c r="H214" s="77" t="b">
        <v>0</v>
      </c>
      <c r="I214" s="77" t="s">
        <v>238</v>
      </c>
      <c r="J214" s="77" t="s">
        <v>503</v>
      </c>
      <c r="K214" s="77" t="s">
        <v>737</v>
      </c>
      <c r="L214" s="77" t="s">
        <v>128</v>
      </c>
      <c r="M214" s="77" t="s">
        <v>626</v>
      </c>
      <c r="N214" s="86">
        <v>16764</v>
      </c>
      <c r="BC214" s="79" t="s">
        <v>2794</v>
      </c>
      <c r="BO214" s="77" t="b">
        <v>0</v>
      </c>
      <c r="BV214" s="77" t="str">
        <f>A214 &amp; "-" &amp; TEXT(B214, "jj/mm/aaaa") &amp; "-" &amp; COUNTIF($A$2:A426, A214)</f>
        <v>GR284QE-20/06/2024-1</v>
      </c>
    </row>
    <row r="215" spans="1:74" x14ac:dyDescent="0.2">
      <c r="A215" s="77" t="s">
        <v>2795</v>
      </c>
      <c r="B215" s="88">
        <v>45463.380497685182</v>
      </c>
      <c r="C215" s="77" t="s">
        <v>2819</v>
      </c>
      <c r="D215" s="77" t="s">
        <v>957</v>
      </c>
      <c r="E215" s="77" t="b">
        <v>1</v>
      </c>
      <c r="F215" s="77" t="b">
        <v>0</v>
      </c>
      <c r="G215" s="77" t="b">
        <v>0</v>
      </c>
      <c r="H215" s="77" t="b">
        <v>1</v>
      </c>
      <c r="I215" s="77" t="s">
        <v>302</v>
      </c>
      <c r="J215" s="77" t="s">
        <v>1136</v>
      </c>
      <c r="K215" s="77" t="s">
        <v>204</v>
      </c>
      <c r="L215" s="77" t="s">
        <v>173</v>
      </c>
      <c r="M215" s="77" t="s">
        <v>785</v>
      </c>
      <c r="N215" s="86">
        <v>170526</v>
      </c>
      <c r="O215" s="77" t="s">
        <v>2799</v>
      </c>
      <c r="P215" s="77" t="s">
        <v>1448</v>
      </c>
      <c r="Q215" s="77" t="s">
        <v>1448</v>
      </c>
      <c r="R215" s="77" t="s">
        <v>1449</v>
      </c>
      <c r="S215" s="77" t="s">
        <v>1448</v>
      </c>
      <c r="T215" s="77" t="s">
        <v>1448</v>
      </c>
      <c r="U215" s="77" t="s">
        <v>1448</v>
      </c>
      <c r="V215" s="77" t="s">
        <v>1449</v>
      </c>
      <c r="W215" s="77" t="s">
        <v>1448</v>
      </c>
      <c r="X215" s="77" t="s">
        <v>1448</v>
      </c>
      <c r="Y215" s="77" t="s">
        <v>1448</v>
      </c>
      <c r="Z215" s="77" t="s">
        <v>1449</v>
      </c>
      <c r="AA215" s="77" t="s">
        <v>1449</v>
      </c>
      <c r="AB215" s="77" t="s">
        <v>1448</v>
      </c>
      <c r="AC215" s="77" t="s">
        <v>1448</v>
      </c>
      <c r="AD215" s="77" t="s">
        <v>1449</v>
      </c>
      <c r="AE215" s="77" t="s">
        <v>1449</v>
      </c>
      <c r="AF215" s="77" t="s">
        <v>1448</v>
      </c>
      <c r="AG215" s="77" t="s">
        <v>1449</v>
      </c>
      <c r="AH215" s="77" t="s">
        <v>1448</v>
      </c>
      <c r="AI215" s="77" t="s">
        <v>1448</v>
      </c>
      <c r="AK215" s="77" t="s">
        <v>1448</v>
      </c>
      <c r="AL215" s="77" t="s">
        <v>1448</v>
      </c>
      <c r="AM215" s="77" t="s">
        <v>1449</v>
      </c>
      <c r="AN215" s="77" t="s">
        <v>1448</v>
      </c>
      <c r="AO215" s="77" t="s">
        <v>1449</v>
      </c>
      <c r="AP215" s="77" t="s">
        <v>1448</v>
      </c>
      <c r="AQ215" s="77" t="s">
        <v>1448</v>
      </c>
      <c r="AR215" s="77" t="s">
        <v>1448</v>
      </c>
      <c r="AS215" s="77" t="s">
        <v>1448</v>
      </c>
      <c r="AT215" s="77" t="s">
        <v>1448</v>
      </c>
      <c r="AU215" s="77" t="s">
        <v>1448</v>
      </c>
      <c r="AV215" s="77" t="s">
        <v>1448</v>
      </c>
      <c r="AW215" s="77" t="s">
        <v>1448</v>
      </c>
      <c r="AX215" s="77" t="s">
        <v>1448</v>
      </c>
      <c r="AY215" s="77" t="s">
        <v>1448</v>
      </c>
      <c r="AZ215" s="77" t="s">
        <v>1448</v>
      </c>
      <c r="BA215" s="77" t="s">
        <v>1449</v>
      </c>
      <c r="BB215" s="77" t="s">
        <v>1449</v>
      </c>
      <c r="BC215" s="79" t="s">
        <v>2800</v>
      </c>
      <c r="BD215" s="79" t="s">
        <v>2801</v>
      </c>
      <c r="BE215" s="79" t="s">
        <v>2820</v>
      </c>
      <c r="BO215" s="77" t="b">
        <v>0</v>
      </c>
      <c r="BV215" s="77" t="str">
        <f>A215 &amp; "-" &amp; TEXT(B215, "jj/mm/aaaa") &amp; "-" &amp; COUNTIF($A$2:A428, A215)</f>
        <v>AC885PS-20/06/2024-1</v>
      </c>
    </row>
    <row r="216" spans="1:74" x14ac:dyDescent="0.2">
      <c r="A216" s="77" t="s">
        <v>849</v>
      </c>
      <c r="B216" s="88">
        <v>45467.385983796295</v>
      </c>
      <c r="C216" s="77" t="s">
        <v>850</v>
      </c>
      <c r="D216" s="77" t="s">
        <v>957</v>
      </c>
      <c r="E216" s="77" t="b">
        <v>1</v>
      </c>
      <c r="F216" s="77" t="b">
        <v>0</v>
      </c>
      <c r="I216" s="77" t="s">
        <v>302</v>
      </c>
      <c r="J216" s="77" t="s">
        <v>1869</v>
      </c>
      <c r="K216" s="77" t="s">
        <v>81</v>
      </c>
      <c r="L216" s="77" t="s">
        <v>213</v>
      </c>
      <c r="M216" s="77" t="s">
        <v>2803</v>
      </c>
      <c r="N216" s="86">
        <v>156218</v>
      </c>
      <c r="O216" s="83">
        <v>45942</v>
      </c>
      <c r="P216" s="77" t="s">
        <v>1448</v>
      </c>
      <c r="Q216" s="77" t="s">
        <v>1448</v>
      </c>
      <c r="R216" s="77" t="s">
        <v>1448</v>
      </c>
      <c r="S216" s="77" t="s">
        <v>1448</v>
      </c>
      <c r="T216" s="77" t="s">
        <v>1448</v>
      </c>
      <c r="U216" s="77" t="s">
        <v>1448</v>
      </c>
      <c r="V216" s="77" t="s">
        <v>1448</v>
      </c>
      <c r="W216" s="77" t="s">
        <v>1448</v>
      </c>
      <c r="X216" s="77" t="s">
        <v>1448</v>
      </c>
      <c r="Y216" s="77" t="s">
        <v>1448</v>
      </c>
      <c r="Z216" s="77" t="s">
        <v>1448</v>
      </c>
      <c r="AA216" s="77" t="s">
        <v>1448</v>
      </c>
      <c r="AB216" s="77" t="s">
        <v>1448</v>
      </c>
      <c r="AC216" s="77" t="s">
        <v>1448</v>
      </c>
      <c r="AD216" s="77" t="s">
        <v>1448</v>
      </c>
      <c r="AE216" s="77" t="s">
        <v>1448</v>
      </c>
      <c r="AF216" s="77" t="s">
        <v>1448</v>
      </c>
      <c r="AG216" s="77" t="s">
        <v>1448</v>
      </c>
      <c r="AH216" s="77" t="s">
        <v>1448</v>
      </c>
      <c r="AI216" s="77" t="s">
        <v>1448</v>
      </c>
      <c r="AJ216" s="77" t="s">
        <v>1448</v>
      </c>
      <c r="AK216" s="77" t="s">
        <v>1448</v>
      </c>
      <c r="AL216" s="77" t="s">
        <v>1448</v>
      </c>
      <c r="AM216" s="77" t="s">
        <v>1448</v>
      </c>
      <c r="AN216" s="77" t="s">
        <v>1448</v>
      </c>
      <c r="AO216" s="77" t="s">
        <v>1448</v>
      </c>
      <c r="AP216" s="77" t="s">
        <v>1448</v>
      </c>
      <c r="AQ216" s="77" t="s">
        <v>1448</v>
      </c>
      <c r="AR216" s="77" t="s">
        <v>1448</v>
      </c>
      <c r="AS216" s="77" t="s">
        <v>1448</v>
      </c>
      <c r="AT216" s="77" t="s">
        <v>1448</v>
      </c>
      <c r="AU216" s="77" t="s">
        <v>1448</v>
      </c>
      <c r="AV216" s="77" t="s">
        <v>1448</v>
      </c>
      <c r="AW216" s="77" t="s">
        <v>1448</v>
      </c>
      <c r="AX216" s="77" t="s">
        <v>1448</v>
      </c>
      <c r="AY216" s="77" t="s">
        <v>1448</v>
      </c>
      <c r="AZ216" s="77" t="s">
        <v>1448</v>
      </c>
      <c r="BA216" s="77" t="s">
        <v>1448</v>
      </c>
      <c r="BB216" s="77" t="s">
        <v>1448</v>
      </c>
      <c r="BC216" s="79" t="s">
        <v>2822</v>
      </c>
      <c r="BV216" s="77" t="str">
        <f>A216 &amp; "-" &amp; TEXT(B216, "jj/mm/aaaa") &amp; "-" &amp; COUNTIF($A$2:A430, A216)</f>
        <v>EQ978MW-24/06/2024-1</v>
      </c>
    </row>
    <row r="217" spans="1:74" x14ac:dyDescent="0.2">
      <c r="A217" s="77" t="s">
        <v>2806</v>
      </c>
      <c r="B217" s="88">
        <v>45467.394988425927</v>
      </c>
      <c r="C217" s="77" t="s">
        <v>2807</v>
      </c>
      <c r="D217" s="77" t="s">
        <v>957</v>
      </c>
      <c r="E217" s="77" t="b">
        <v>1</v>
      </c>
      <c r="F217" s="77" t="b">
        <v>0</v>
      </c>
      <c r="G217" s="77" t="b">
        <v>0</v>
      </c>
      <c r="H217" s="77" t="b">
        <v>0</v>
      </c>
      <c r="I217" s="77" t="s">
        <v>2777</v>
      </c>
      <c r="J217" s="77" t="s">
        <v>2065</v>
      </c>
      <c r="K217" s="77" t="s">
        <v>2777</v>
      </c>
      <c r="L217" s="77" t="s">
        <v>2329</v>
      </c>
      <c r="M217" s="77" t="s">
        <v>403</v>
      </c>
      <c r="N217" s="86">
        <v>18672</v>
      </c>
      <c r="BC217" s="79" t="s">
        <v>2821</v>
      </c>
      <c r="BO217" s="77" t="b">
        <v>0</v>
      </c>
      <c r="BV217" s="77" t="str">
        <f>A217 &amp; "-" &amp; TEXT(B217, "jj/mm/aaaa") &amp; "-" &amp; COUNTIF($A$2:A432, A217)</f>
        <v>GT728EC-24/06/2024-1</v>
      </c>
    </row>
    <row r="218" spans="1:74" x14ac:dyDescent="0.2">
      <c r="A218" s="77" t="s">
        <v>434</v>
      </c>
      <c r="B218" s="88">
        <v>45468.378969907404</v>
      </c>
      <c r="C218" s="77" t="s">
        <v>435</v>
      </c>
      <c r="D218" s="77" t="s">
        <v>957</v>
      </c>
      <c r="E218" s="77" t="b">
        <v>1</v>
      </c>
      <c r="F218" s="77" t="b">
        <v>0</v>
      </c>
      <c r="G218" s="77" t="b">
        <v>0</v>
      </c>
      <c r="H218" s="77" t="b">
        <v>0</v>
      </c>
      <c r="I218" s="77" t="s">
        <v>1337</v>
      </c>
      <c r="J218" s="77" t="s">
        <v>1081</v>
      </c>
      <c r="K218" s="77" t="s">
        <v>436</v>
      </c>
      <c r="L218" s="77" t="s">
        <v>437</v>
      </c>
      <c r="M218" s="77" t="s">
        <v>438</v>
      </c>
      <c r="N218" s="86">
        <v>204901</v>
      </c>
      <c r="AC218" s="77" t="s">
        <v>1450</v>
      </c>
      <c r="AP218" s="77" t="s">
        <v>1448</v>
      </c>
      <c r="BC218" s="79" t="s">
        <v>2829</v>
      </c>
      <c r="BO218" s="77" t="b">
        <v>0</v>
      </c>
      <c r="BV218" s="77" t="str">
        <f>A218 &amp; "-" &amp; TEXT(B218, "jj/mm/aaaa") &amp; "-" &amp; COUNTIF($A$2:A434, A218)</f>
        <v>DT901ZV-25/06/2024-1</v>
      </c>
    </row>
    <row r="219" spans="1:74" x14ac:dyDescent="0.2">
      <c r="A219" s="77" t="s">
        <v>2830</v>
      </c>
      <c r="B219" s="88">
        <v>45468.469236111108</v>
      </c>
      <c r="C219" s="77" t="s">
        <v>2831</v>
      </c>
      <c r="D219" s="77" t="s">
        <v>957</v>
      </c>
      <c r="E219" s="77" t="b">
        <v>0</v>
      </c>
      <c r="F219" s="77" t="b">
        <v>0</v>
      </c>
      <c r="G219" s="77" t="b">
        <v>0</v>
      </c>
      <c r="H219" s="77" t="b">
        <v>0</v>
      </c>
      <c r="I219" s="77" t="s">
        <v>404</v>
      </c>
      <c r="J219" s="77" t="s">
        <v>503</v>
      </c>
      <c r="K219" s="77" t="s">
        <v>404</v>
      </c>
      <c r="L219" s="77" t="s">
        <v>399</v>
      </c>
      <c r="M219" s="77" t="s">
        <v>2833</v>
      </c>
      <c r="N219" s="86">
        <v>92129</v>
      </c>
      <c r="P219" s="77" t="s">
        <v>1448</v>
      </c>
      <c r="Q219" s="77" t="s">
        <v>1448</v>
      </c>
      <c r="R219" s="77" t="s">
        <v>1449</v>
      </c>
      <c r="S219" s="77" t="s">
        <v>1448</v>
      </c>
      <c r="T219" s="77" t="s">
        <v>1448</v>
      </c>
      <c r="U219" s="77" t="s">
        <v>1448</v>
      </c>
      <c r="V219" s="77" t="s">
        <v>1448</v>
      </c>
      <c r="W219" s="77" t="s">
        <v>1448</v>
      </c>
      <c r="X219" s="77" t="s">
        <v>1448</v>
      </c>
      <c r="Y219" s="77" t="s">
        <v>1448</v>
      </c>
      <c r="Z219" s="77" t="s">
        <v>1448</v>
      </c>
      <c r="AA219" s="77" t="s">
        <v>1448</v>
      </c>
      <c r="AB219" s="77" t="s">
        <v>1448</v>
      </c>
      <c r="AC219" s="77" t="s">
        <v>1448</v>
      </c>
      <c r="AD219" s="77" t="s">
        <v>1448</v>
      </c>
      <c r="AF219" s="77" t="s">
        <v>1448</v>
      </c>
      <c r="AG219" s="77" t="s">
        <v>1448</v>
      </c>
      <c r="AH219" s="77" t="s">
        <v>1448</v>
      </c>
      <c r="AI219" s="77" t="s">
        <v>1448</v>
      </c>
      <c r="AJ219" s="77" t="s">
        <v>1448</v>
      </c>
      <c r="AK219" s="77" t="s">
        <v>1448</v>
      </c>
      <c r="AL219" s="77" t="s">
        <v>1448</v>
      </c>
      <c r="AM219" s="77" t="s">
        <v>1448</v>
      </c>
      <c r="AN219" s="77" t="s">
        <v>1448</v>
      </c>
      <c r="AO219" s="77" t="s">
        <v>1448</v>
      </c>
      <c r="AQ219" s="77" t="s">
        <v>1448</v>
      </c>
      <c r="AR219" s="77" t="s">
        <v>1448</v>
      </c>
      <c r="AS219" s="77" t="s">
        <v>1448</v>
      </c>
      <c r="AT219" s="77" t="s">
        <v>1448</v>
      </c>
      <c r="AU219" s="77" t="s">
        <v>1448</v>
      </c>
      <c r="AV219" s="77" t="s">
        <v>1448</v>
      </c>
      <c r="AW219" s="77" t="s">
        <v>1448</v>
      </c>
      <c r="AX219" s="77" t="s">
        <v>1448</v>
      </c>
      <c r="AY219" s="77" t="s">
        <v>1448</v>
      </c>
      <c r="AZ219" s="77" t="s">
        <v>1449</v>
      </c>
      <c r="BA219" s="77" t="s">
        <v>1448</v>
      </c>
      <c r="BB219" s="77" t="s">
        <v>1449</v>
      </c>
      <c r="BC219" s="79" t="s">
        <v>2836</v>
      </c>
      <c r="BD219" s="79" t="s">
        <v>2850</v>
      </c>
      <c r="BO219" s="77" t="b">
        <v>0</v>
      </c>
      <c r="BV219" s="77" t="str">
        <f>A219 &amp; "-" &amp; TEXT(B219, "jj/mm/aaaa") &amp; "-" &amp; COUNTIF($A$2:A436, A219)</f>
        <v>EQ265XK-25/06/2024-1</v>
      </c>
    </row>
    <row r="220" spans="1:74" x14ac:dyDescent="0.2">
      <c r="A220" s="77" t="s">
        <v>382</v>
      </c>
      <c r="B220" s="88">
        <v>45469.38385416667</v>
      </c>
      <c r="C220" s="77" t="s">
        <v>383</v>
      </c>
      <c r="D220" s="77" t="s">
        <v>958</v>
      </c>
      <c r="E220" s="77" t="b">
        <v>1</v>
      </c>
      <c r="F220" s="77" t="b">
        <v>0</v>
      </c>
      <c r="G220" s="77" t="b">
        <v>0</v>
      </c>
      <c r="H220" s="77" t="b">
        <v>0</v>
      </c>
      <c r="I220" s="77" t="s">
        <v>78</v>
      </c>
      <c r="J220" s="77">
        <v>34</v>
      </c>
      <c r="K220" s="77" t="s">
        <v>348</v>
      </c>
      <c r="L220" s="77" t="s">
        <v>111</v>
      </c>
      <c r="M220" s="77" t="s">
        <v>384</v>
      </c>
      <c r="N220" s="86">
        <v>326031</v>
      </c>
      <c r="BC220" s="79" t="s">
        <v>2839</v>
      </c>
      <c r="BD220" s="79" t="s">
        <v>2840</v>
      </c>
      <c r="BE220" s="79" t="s">
        <v>2841</v>
      </c>
      <c r="BO220" s="77" t="b">
        <v>0</v>
      </c>
      <c r="BV220" s="77" t="str">
        <f>A220 &amp; "-" &amp; TEXT(B220, "jj/mm/aaaa") &amp; "-" &amp; COUNTIF($A$2:A438, A220)</f>
        <v>DK188VK-26/06/2024-1</v>
      </c>
    </row>
    <row r="221" spans="1:74" x14ac:dyDescent="0.2">
      <c r="A221" s="77" t="s">
        <v>986</v>
      </c>
      <c r="B221" s="88">
        <v>45469.42695601852</v>
      </c>
      <c r="C221" s="77" t="s">
        <v>2842</v>
      </c>
      <c r="D221" s="77" t="s">
        <v>957</v>
      </c>
      <c r="E221" s="77" t="b">
        <v>1</v>
      </c>
      <c r="F221" s="77" t="b">
        <v>0</v>
      </c>
      <c r="G221" s="77" t="b">
        <v>0</v>
      </c>
      <c r="H221" s="77" t="b">
        <v>0</v>
      </c>
      <c r="I221" s="77" t="s">
        <v>110</v>
      </c>
      <c r="J221" s="77" t="s">
        <v>1770</v>
      </c>
      <c r="K221" s="77" t="s">
        <v>285</v>
      </c>
      <c r="L221" s="77" t="s">
        <v>111</v>
      </c>
      <c r="M221" s="77">
        <v>208</v>
      </c>
      <c r="N221" s="86">
        <v>49559</v>
      </c>
      <c r="BC221" s="79" t="s">
        <v>2845</v>
      </c>
      <c r="BD221" s="79" t="s">
        <v>2846</v>
      </c>
      <c r="BO221" s="77" t="b">
        <v>0</v>
      </c>
      <c r="BV221" s="77" t="str">
        <f>A221 &amp; "-" &amp; TEXT(B221, "jj/mm/aaaa") &amp; "-" &amp; COUNTIF($A$2:A440, A221)</f>
        <v>EM464PG-26/06/2024-1</v>
      </c>
    </row>
    <row r="222" spans="1:74" x14ac:dyDescent="0.2">
      <c r="A222" s="77" t="s">
        <v>2847</v>
      </c>
      <c r="B222" s="88">
        <v>45469.442870370367</v>
      </c>
      <c r="C222" s="77" t="s">
        <v>630</v>
      </c>
      <c r="D222" s="77" t="s">
        <v>957</v>
      </c>
      <c r="E222" s="77" t="b">
        <v>0</v>
      </c>
      <c r="F222" s="77" t="b">
        <v>0</v>
      </c>
      <c r="G222" s="77" t="b">
        <v>0</v>
      </c>
      <c r="H222" s="77" t="b">
        <v>0</v>
      </c>
      <c r="I222" s="77" t="s">
        <v>78</v>
      </c>
      <c r="J222" s="77" t="s">
        <v>1136</v>
      </c>
      <c r="K222" s="77" t="s">
        <v>204</v>
      </c>
      <c r="L222" s="77" t="s">
        <v>128</v>
      </c>
      <c r="M222" s="77" t="s">
        <v>342</v>
      </c>
      <c r="N222" s="86">
        <v>200503</v>
      </c>
      <c r="BC222" s="79" t="s">
        <v>2848</v>
      </c>
      <c r="BD222" s="79" t="s">
        <v>2849</v>
      </c>
      <c r="BO222" s="77" t="b">
        <v>0</v>
      </c>
      <c r="BV222" s="77" t="str">
        <f>A222 &amp; "-" &amp; TEXT(B222, "jj/mm/aaaa") &amp; "-" &amp; COUNTIF($A$2:A442, A222)</f>
        <v>DT332DD-26/06/2024-1</v>
      </c>
    </row>
    <row r="223" spans="1:74" x14ac:dyDescent="0.2">
      <c r="A223" s="77" t="s">
        <v>557</v>
      </c>
      <c r="B223" s="88">
        <v>45469.650787037041</v>
      </c>
      <c r="C223" s="77" t="s">
        <v>558</v>
      </c>
      <c r="D223" s="77" t="s">
        <v>957</v>
      </c>
      <c r="E223" s="77" t="b">
        <v>1</v>
      </c>
      <c r="F223" s="77" t="b">
        <v>1</v>
      </c>
      <c r="G223" s="77" t="b">
        <v>1</v>
      </c>
      <c r="H223" s="77" t="b">
        <v>1</v>
      </c>
      <c r="I223" s="77" t="s">
        <v>238</v>
      </c>
      <c r="J223" s="77">
        <v>34</v>
      </c>
      <c r="K223" s="77" t="s">
        <v>114</v>
      </c>
      <c r="L223" s="77" t="s">
        <v>111</v>
      </c>
      <c r="M223" s="77" t="s">
        <v>1387</v>
      </c>
      <c r="BO223" s="77" t="b">
        <v>0</v>
      </c>
      <c r="BV223" s="77" t="str">
        <f>A223 &amp; "-" &amp; TEXT(B223, "jj/mm/aaaa") &amp; "-" &amp; COUNTIF($A$2:A444, A223)</f>
        <v>EN282TF-26/06/2024-1</v>
      </c>
    </row>
  </sheetData>
  <sheetProtection selectLockedCells="1"/>
  <phoneticPr fontId="2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11F8-5494-47DF-A76C-07CEB6DA7D81}">
  <sheetPr codeName="Feuil4"/>
  <dimension ref="A1:K513"/>
  <sheetViews>
    <sheetView topLeftCell="A194" workbookViewId="0">
      <selection activeCell="A218" sqref="A218"/>
    </sheetView>
  </sheetViews>
  <sheetFormatPr baseColWidth="10" defaultRowHeight="12.75" x14ac:dyDescent="0.2"/>
  <cols>
    <col min="1" max="1" width="17.5703125" bestFit="1" customWidth="1"/>
    <col min="2" max="2" width="26.85546875" bestFit="1" customWidth="1"/>
    <col min="3" max="3" width="17.5703125" style="22" customWidth="1"/>
    <col min="4" max="4" width="17.5703125" customWidth="1"/>
    <col min="5" max="5" width="15" bestFit="1" customWidth="1"/>
    <col min="6" max="6" width="22" bestFit="1" customWidth="1"/>
    <col min="7" max="7" width="15.28515625" bestFit="1" customWidth="1"/>
    <col min="8" max="8" width="36.28515625" bestFit="1" customWidth="1"/>
    <col min="9" max="9" width="27.140625" style="17" bestFit="1" customWidth="1"/>
    <col min="10" max="10" width="29.85546875" style="18" bestFit="1" customWidth="1"/>
    <col min="11" max="12" width="31" bestFit="1" customWidth="1"/>
  </cols>
  <sheetData>
    <row r="1" spans="1:11" x14ac:dyDescent="0.2">
      <c r="A1" t="s">
        <v>867</v>
      </c>
      <c r="B1" t="s">
        <v>2</v>
      </c>
      <c r="C1" t="s">
        <v>881</v>
      </c>
      <c r="D1" t="s">
        <v>868</v>
      </c>
      <c r="E1" t="s">
        <v>869</v>
      </c>
      <c r="F1" t="s">
        <v>870</v>
      </c>
      <c r="G1" t="s">
        <v>871</v>
      </c>
      <c r="H1" s="17" t="s">
        <v>872</v>
      </c>
      <c r="I1" s="18" t="s">
        <v>873</v>
      </c>
      <c r="J1" t="s">
        <v>874</v>
      </c>
      <c r="K1" t="s">
        <v>875</v>
      </c>
    </row>
    <row r="2" spans="1:11" x14ac:dyDescent="0.2">
      <c r="A2" t="s">
        <v>975</v>
      </c>
      <c r="B2" s="21" t="s">
        <v>993</v>
      </c>
      <c r="C2"/>
      <c r="D2" t="s">
        <v>73</v>
      </c>
      <c r="E2" t="s">
        <v>74</v>
      </c>
      <c r="F2" s="20"/>
      <c r="H2" s="17" t="s">
        <v>1067</v>
      </c>
      <c r="I2" s="18">
        <v>37</v>
      </c>
      <c r="J2" t="s">
        <v>72</v>
      </c>
      <c r="K2" t="s">
        <v>1333</v>
      </c>
    </row>
    <row r="3" spans="1:11" x14ac:dyDescent="0.2">
      <c r="A3" t="s">
        <v>976</v>
      </c>
      <c r="B3" s="21" t="s">
        <v>994</v>
      </c>
      <c r="C3"/>
      <c r="D3" t="s">
        <v>111</v>
      </c>
      <c r="E3" t="s">
        <v>1342</v>
      </c>
      <c r="F3" s="20"/>
      <c r="H3" s="17" t="s">
        <v>1068</v>
      </c>
      <c r="I3" s="18">
        <v>25</v>
      </c>
      <c r="J3" t="s">
        <v>160</v>
      </c>
      <c r="K3" t="s">
        <v>94</v>
      </c>
    </row>
    <row r="4" spans="1:11" x14ac:dyDescent="0.2">
      <c r="A4" t="s">
        <v>75</v>
      </c>
      <c r="B4" s="21" t="s">
        <v>76</v>
      </c>
      <c r="C4"/>
      <c r="D4" t="s">
        <v>83</v>
      </c>
      <c r="E4" t="s">
        <v>79</v>
      </c>
      <c r="F4" s="20"/>
      <c r="H4" s="17"/>
      <c r="I4" s="18"/>
      <c r="J4" t="s">
        <v>77</v>
      </c>
      <c r="K4" t="s">
        <v>78</v>
      </c>
    </row>
    <row r="5" spans="1:11" x14ac:dyDescent="0.2">
      <c r="A5" t="s">
        <v>80</v>
      </c>
      <c r="B5" s="21" t="s">
        <v>947</v>
      </c>
      <c r="C5"/>
      <c r="D5" t="s">
        <v>83</v>
      </c>
      <c r="E5" t="s">
        <v>84</v>
      </c>
      <c r="F5" s="20"/>
      <c r="H5" s="17" t="s">
        <v>1069</v>
      </c>
      <c r="I5" s="18">
        <v>39</v>
      </c>
      <c r="J5" t="s">
        <v>81</v>
      </c>
      <c r="K5" t="s">
        <v>82</v>
      </c>
    </row>
    <row r="6" spans="1:11" x14ac:dyDescent="0.2">
      <c r="A6" t="s">
        <v>85</v>
      </c>
      <c r="B6" s="21" t="s">
        <v>886</v>
      </c>
      <c r="C6"/>
      <c r="D6" t="s">
        <v>111</v>
      </c>
      <c r="E6">
        <v>308</v>
      </c>
      <c r="F6" s="20"/>
      <c r="H6" s="17" t="s">
        <v>1070</v>
      </c>
      <c r="I6" s="18">
        <v>34</v>
      </c>
      <c r="J6">
        <v>24</v>
      </c>
      <c r="K6" t="s">
        <v>86</v>
      </c>
    </row>
    <row r="7" spans="1:11" x14ac:dyDescent="0.2">
      <c r="A7" t="s">
        <v>87</v>
      </c>
      <c r="B7" s="21" t="s">
        <v>88</v>
      </c>
      <c r="C7"/>
      <c r="D7" t="s">
        <v>73</v>
      </c>
      <c r="E7" t="s">
        <v>90</v>
      </c>
      <c r="F7" s="20"/>
      <c r="H7" s="17" t="s">
        <v>1071</v>
      </c>
      <c r="I7" s="18">
        <v>25</v>
      </c>
      <c r="J7" t="s">
        <v>89</v>
      </c>
      <c r="K7">
        <v>10.5</v>
      </c>
    </row>
    <row r="8" spans="1:11" x14ac:dyDescent="0.2">
      <c r="A8" t="s">
        <v>91</v>
      </c>
      <c r="B8" s="21" t="s">
        <v>92</v>
      </c>
      <c r="C8"/>
      <c r="D8" t="s">
        <v>73</v>
      </c>
      <c r="E8" t="s">
        <v>95</v>
      </c>
      <c r="F8" s="20"/>
      <c r="H8" s="17"/>
      <c r="I8" s="18"/>
      <c r="J8" t="s">
        <v>93</v>
      </c>
      <c r="K8" t="s">
        <v>94</v>
      </c>
    </row>
    <row r="9" spans="1:11" x14ac:dyDescent="0.2">
      <c r="A9" t="s">
        <v>96</v>
      </c>
      <c r="B9" s="21" t="s">
        <v>97</v>
      </c>
      <c r="C9"/>
      <c r="D9" t="s">
        <v>73</v>
      </c>
      <c r="E9" t="s">
        <v>1343</v>
      </c>
      <c r="F9" s="20"/>
      <c r="H9" s="17" t="s">
        <v>1072</v>
      </c>
      <c r="I9" s="18">
        <v>38</v>
      </c>
      <c r="J9" t="s">
        <v>98</v>
      </c>
      <c r="K9" t="s">
        <v>99</v>
      </c>
    </row>
    <row r="10" spans="1:11" x14ac:dyDescent="0.2">
      <c r="A10" t="s">
        <v>100</v>
      </c>
      <c r="B10" s="21" t="s">
        <v>101</v>
      </c>
      <c r="C10"/>
      <c r="D10" t="s">
        <v>73</v>
      </c>
      <c r="E10" t="s">
        <v>1344</v>
      </c>
      <c r="F10" s="20"/>
      <c r="H10" s="17" t="s">
        <v>1073</v>
      </c>
      <c r="I10" s="18">
        <v>38</v>
      </c>
      <c r="J10" t="s">
        <v>93</v>
      </c>
      <c r="K10" t="s">
        <v>94</v>
      </c>
    </row>
    <row r="11" spans="1:11" x14ac:dyDescent="0.2">
      <c r="A11" t="s">
        <v>102</v>
      </c>
      <c r="B11" s="21"/>
      <c r="C11"/>
      <c r="D11" t="s">
        <v>105</v>
      </c>
      <c r="E11" t="s">
        <v>106</v>
      </c>
      <c r="F11" s="20"/>
      <c r="H11" s="17" t="s">
        <v>1074</v>
      </c>
      <c r="I11" s="18" t="s">
        <v>1447</v>
      </c>
      <c r="J11" t="s">
        <v>104</v>
      </c>
      <c r="K11">
        <v>8</v>
      </c>
    </row>
    <row r="12" spans="1:11" x14ac:dyDescent="0.2">
      <c r="A12" t="s">
        <v>107</v>
      </c>
      <c r="B12" s="21" t="s">
        <v>103</v>
      </c>
      <c r="C12"/>
      <c r="D12" t="s">
        <v>111</v>
      </c>
      <c r="E12">
        <v>207</v>
      </c>
      <c r="F12" s="20"/>
      <c r="H12" s="17" t="s">
        <v>1075</v>
      </c>
      <c r="I12" s="18">
        <v>30</v>
      </c>
      <c r="J12" t="s">
        <v>109</v>
      </c>
      <c r="K12" t="s">
        <v>110</v>
      </c>
    </row>
    <row r="13" spans="1:11" x14ac:dyDescent="0.2">
      <c r="A13" t="s">
        <v>112</v>
      </c>
      <c r="B13" s="21" t="s">
        <v>108</v>
      </c>
      <c r="C13"/>
      <c r="D13" t="s">
        <v>73</v>
      </c>
      <c r="E13" t="s">
        <v>1345</v>
      </c>
      <c r="F13" s="20"/>
      <c r="H13" s="17" t="s">
        <v>1076</v>
      </c>
      <c r="I13" s="18">
        <v>38</v>
      </c>
      <c r="J13" t="s">
        <v>72</v>
      </c>
      <c r="K13" t="s">
        <v>82</v>
      </c>
    </row>
    <row r="14" spans="1:11" x14ac:dyDescent="0.2">
      <c r="A14" t="s">
        <v>113</v>
      </c>
      <c r="B14" s="21" t="s">
        <v>948</v>
      </c>
      <c r="C14"/>
      <c r="D14" t="s">
        <v>73</v>
      </c>
      <c r="E14" t="s">
        <v>116</v>
      </c>
      <c r="F14" s="20"/>
      <c r="H14" s="17" t="s">
        <v>1077</v>
      </c>
      <c r="I14" s="18">
        <v>38</v>
      </c>
      <c r="J14" t="s">
        <v>114</v>
      </c>
      <c r="K14" t="s">
        <v>115</v>
      </c>
    </row>
    <row r="15" spans="1:11" x14ac:dyDescent="0.2">
      <c r="A15" t="s">
        <v>117</v>
      </c>
      <c r="B15" s="21" t="s">
        <v>887</v>
      </c>
      <c r="C15"/>
      <c r="D15" t="s">
        <v>120</v>
      </c>
      <c r="E15" t="s">
        <v>530</v>
      </c>
      <c r="F15" s="20"/>
      <c r="H15" s="17" t="s">
        <v>1078</v>
      </c>
      <c r="I15" s="18">
        <v>30</v>
      </c>
      <c r="J15" t="s">
        <v>118</v>
      </c>
      <c r="K15" t="s">
        <v>119</v>
      </c>
    </row>
    <row r="16" spans="1:11" x14ac:dyDescent="0.2">
      <c r="A16" t="s">
        <v>121</v>
      </c>
      <c r="B16" s="21" t="s">
        <v>888</v>
      </c>
      <c r="C16"/>
      <c r="D16" t="s">
        <v>122</v>
      </c>
      <c r="E16" t="s">
        <v>123</v>
      </c>
      <c r="F16" s="20"/>
      <c r="H16" s="17" t="s">
        <v>1079</v>
      </c>
      <c r="I16" s="18">
        <v>30</v>
      </c>
      <c r="J16" t="s">
        <v>77</v>
      </c>
      <c r="K16" t="s">
        <v>94</v>
      </c>
    </row>
    <row r="17" spans="1:11" x14ac:dyDescent="0.2">
      <c r="A17" t="s">
        <v>124</v>
      </c>
      <c r="B17" s="21" t="s">
        <v>2654</v>
      </c>
      <c r="C17" t="s">
        <v>2655</v>
      </c>
      <c r="D17" t="s">
        <v>1340</v>
      </c>
      <c r="E17" t="s">
        <v>126</v>
      </c>
      <c r="F17" s="20">
        <v>40391</v>
      </c>
      <c r="G17" t="s">
        <v>1735</v>
      </c>
      <c r="H17" s="17" t="s">
        <v>2656</v>
      </c>
      <c r="I17" s="18" t="s">
        <v>1470</v>
      </c>
      <c r="J17" t="s">
        <v>125</v>
      </c>
      <c r="K17" t="s">
        <v>1334</v>
      </c>
    </row>
    <row r="18" spans="1:11" x14ac:dyDescent="0.2">
      <c r="A18" t="s">
        <v>127</v>
      </c>
      <c r="B18" s="21" t="s">
        <v>889</v>
      </c>
      <c r="C18"/>
      <c r="D18" t="s">
        <v>128</v>
      </c>
      <c r="E18" t="s">
        <v>129</v>
      </c>
      <c r="F18" s="20"/>
      <c r="H18" s="17" t="s">
        <v>1080</v>
      </c>
      <c r="I18" s="18">
        <v>20</v>
      </c>
      <c r="J18" t="s">
        <v>204</v>
      </c>
      <c r="K18" t="s">
        <v>94</v>
      </c>
    </row>
    <row r="19" spans="1:11" x14ac:dyDescent="0.2">
      <c r="A19" t="s">
        <v>977</v>
      </c>
      <c r="B19" s="21" t="s">
        <v>890</v>
      </c>
      <c r="C19"/>
      <c r="D19" t="s">
        <v>131</v>
      </c>
      <c r="E19" t="s">
        <v>132</v>
      </c>
      <c r="F19" s="20"/>
      <c r="H19" s="17" t="s">
        <v>1081</v>
      </c>
      <c r="I19" s="18">
        <v>40</v>
      </c>
      <c r="J19" t="s">
        <v>130</v>
      </c>
      <c r="K19" t="s">
        <v>82</v>
      </c>
    </row>
    <row r="20" spans="1:11" x14ac:dyDescent="0.2">
      <c r="A20" t="s">
        <v>133</v>
      </c>
      <c r="B20" s="21" t="s">
        <v>995</v>
      </c>
      <c r="C20"/>
      <c r="D20" t="s">
        <v>135</v>
      </c>
      <c r="E20" t="s">
        <v>136</v>
      </c>
      <c r="F20" s="20"/>
      <c r="H20" s="17" t="s">
        <v>1082</v>
      </c>
      <c r="I20" s="18">
        <v>30</v>
      </c>
      <c r="J20" t="s">
        <v>134</v>
      </c>
      <c r="K20" t="s">
        <v>94</v>
      </c>
    </row>
    <row r="21" spans="1:11" x14ac:dyDescent="0.2">
      <c r="A21" t="s">
        <v>137</v>
      </c>
      <c r="B21" s="21" t="s">
        <v>891</v>
      </c>
      <c r="C21"/>
      <c r="D21" t="s">
        <v>139</v>
      </c>
      <c r="E21" t="s">
        <v>140</v>
      </c>
      <c r="F21" s="20"/>
      <c r="H21" s="17" t="s">
        <v>1083</v>
      </c>
      <c r="I21" s="18"/>
      <c r="J21">
        <v>24</v>
      </c>
      <c r="K21">
        <v>10</v>
      </c>
    </row>
    <row r="22" spans="1:11" x14ac:dyDescent="0.2">
      <c r="A22" t="s">
        <v>141</v>
      </c>
      <c r="B22" s="21" t="s">
        <v>138</v>
      </c>
      <c r="C22"/>
      <c r="D22" t="s">
        <v>73</v>
      </c>
      <c r="E22" t="s">
        <v>143</v>
      </c>
      <c r="F22" s="20"/>
      <c r="H22" s="17" t="s">
        <v>1084</v>
      </c>
      <c r="I22" s="18">
        <v>30</v>
      </c>
      <c r="J22" t="s">
        <v>142</v>
      </c>
      <c r="K22" t="s">
        <v>78</v>
      </c>
    </row>
    <row r="23" spans="1:11" x14ac:dyDescent="0.2">
      <c r="A23" t="s">
        <v>144</v>
      </c>
      <c r="B23" s="21" t="s">
        <v>892</v>
      </c>
      <c r="C23"/>
      <c r="D23" t="s">
        <v>120</v>
      </c>
      <c r="E23" t="s">
        <v>147</v>
      </c>
      <c r="F23" s="20"/>
      <c r="H23" s="17" t="s">
        <v>145</v>
      </c>
      <c r="I23" s="18"/>
      <c r="J23" t="s">
        <v>146</v>
      </c>
      <c r="K23" t="s">
        <v>94</v>
      </c>
    </row>
    <row r="24" spans="1:11" x14ac:dyDescent="0.2">
      <c r="A24" t="s">
        <v>148</v>
      </c>
      <c r="B24" s="21" t="s">
        <v>2564</v>
      </c>
      <c r="C24"/>
      <c r="D24" t="s">
        <v>128</v>
      </c>
      <c r="E24" t="s">
        <v>150</v>
      </c>
      <c r="F24" s="20"/>
      <c r="G24" t="s">
        <v>1459</v>
      </c>
      <c r="H24" s="17" t="s">
        <v>2565</v>
      </c>
      <c r="I24" s="18">
        <v>20</v>
      </c>
      <c r="J24" t="s">
        <v>149</v>
      </c>
      <c r="K24" t="s">
        <v>94</v>
      </c>
    </row>
    <row r="25" spans="1:11" x14ac:dyDescent="0.2">
      <c r="A25" t="s">
        <v>151</v>
      </c>
      <c r="B25" s="21" t="s">
        <v>893</v>
      </c>
      <c r="C25"/>
      <c r="D25" t="s">
        <v>111</v>
      </c>
      <c r="E25">
        <v>3008</v>
      </c>
      <c r="F25" s="20"/>
      <c r="H25" s="17" t="s">
        <v>1085</v>
      </c>
      <c r="I25" s="18">
        <v>30</v>
      </c>
      <c r="J25">
        <v>24</v>
      </c>
      <c r="K25">
        <v>10</v>
      </c>
    </row>
    <row r="26" spans="1:11" x14ac:dyDescent="0.2">
      <c r="A26" t="s">
        <v>153</v>
      </c>
      <c r="B26" s="21" t="s">
        <v>152</v>
      </c>
      <c r="C26"/>
      <c r="D26" t="s">
        <v>521</v>
      </c>
      <c r="E26" t="s">
        <v>155</v>
      </c>
      <c r="F26" s="20"/>
      <c r="H26" s="17" t="s">
        <v>1086</v>
      </c>
      <c r="I26" s="18">
        <v>30</v>
      </c>
      <c r="J26" t="s">
        <v>154</v>
      </c>
      <c r="K26" t="s">
        <v>154</v>
      </c>
    </row>
    <row r="27" spans="1:11" x14ac:dyDescent="0.2">
      <c r="A27" t="s">
        <v>156</v>
      </c>
      <c r="B27" s="21" t="s">
        <v>157</v>
      </c>
      <c r="C27"/>
      <c r="D27" t="s">
        <v>139</v>
      </c>
      <c r="E27" t="s">
        <v>2369</v>
      </c>
      <c r="F27" s="20" t="s">
        <v>2370</v>
      </c>
      <c r="G27" t="s">
        <v>1735</v>
      </c>
      <c r="H27" s="17" t="s">
        <v>2371</v>
      </c>
      <c r="I27" s="18" t="s">
        <v>1484</v>
      </c>
      <c r="J27" t="s">
        <v>158</v>
      </c>
      <c r="K27" t="s">
        <v>78</v>
      </c>
    </row>
    <row r="28" spans="1:11" x14ac:dyDescent="0.2">
      <c r="A28" t="s">
        <v>159</v>
      </c>
      <c r="B28" s="21" t="s">
        <v>895</v>
      </c>
      <c r="C28"/>
      <c r="D28" t="s">
        <v>139</v>
      </c>
      <c r="E28" t="s">
        <v>161</v>
      </c>
      <c r="F28" s="20">
        <v>39546</v>
      </c>
      <c r="G28" t="s">
        <v>1453</v>
      </c>
      <c r="H28" s="17" t="s">
        <v>2385</v>
      </c>
      <c r="I28" s="18"/>
      <c r="J28" t="s">
        <v>160</v>
      </c>
      <c r="K28" t="s">
        <v>94</v>
      </c>
    </row>
    <row r="29" spans="1:11" x14ac:dyDescent="0.2">
      <c r="A29" t="s">
        <v>162</v>
      </c>
      <c r="B29" s="21" t="s">
        <v>895</v>
      </c>
      <c r="C29"/>
      <c r="D29" t="s">
        <v>131</v>
      </c>
      <c r="E29" t="s">
        <v>165</v>
      </c>
      <c r="F29" s="20"/>
      <c r="H29" s="17" t="s">
        <v>1087</v>
      </c>
      <c r="I29" s="18">
        <v>40</v>
      </c>
      <c r="J29" t="s">
        <v>163</v>
      </c>
      <c r="K29" t="s">
        <v>164</v>
      </c>
    </row>
    <row r="30" spans="1:11" x14ac:dyDescent="0.2">
      <c r="A30" t="s">
        <v>166</v>
      </c>
      <c r="B30" s="21" t="s">
        <v>2324</v>
      </c>
      <c r="C30"/>
      <c r="D30" t="s">
        <v>128</v>
      </c>
      <c r="E30" t="s">
        <v>167</v>
      </c>
      <c r="F30" s="20" t="s">
        <v>2325</v>
      </c>
      <c r="G30" t="s">
        <v>1735</v>
      </c>
      <c r="H30" s="17" t="s">
        <v>2326</v>
      </c>
      <c r="I30" s="18" t="s">
        <v>1986</v>
      </c>
      <c r="J30" t="s">
        <v>2327</v>
      </c>
      <c r="K30" t="s">
        <v>1942</v>
      </c>
    </row>
    <row r="31" spans="1:11" x14ac:dyDescent="0.2">
      <c r="A31" t="s">
        <v>168</v>
      </c>
      <c r="B31" s="21" t="s">
        <v>896</v>
      </c>
      <c r="C31"/>
      <c r="F31" s="20"/>
      <c r="H31" s="17" t="s">
        <v>1088</v>
      </c>
      <c r="I31" s="18">
        <v>30</v>
      </c>
      <c r="J31"/>
    </row>
    <row r="32" spans="1:11" x14ac:dyDescent="0.2">
      <c r="A32" t="s">
        <v>169</v>
      </c>
      <c r="B32" s="21" t="s">
        <v>897</v>
      </c>
      <c r="C32"/>
      <c r="D32" t="s">
        <v>128</v>
      </c>
      <c r="E32" t="s">
        <v>167</v>
      </c>
      <c r="F32" s="20"/>
      <c r="H32" s="17" t="s">
        <v>170</v>
      </c>
      <c r="I32" s="18"/>
      <c r="J32"/>
    </row>
    <row r="33" spans="1:11" x14ac:dyDescent="0.2">
      <c r="A33" t="s">
        <v>171</v>
      </c>
      <c r="B33" s="21" t="s">
        <v>1894</v>
      </c>
      <c r="C33" t="s">
        <v>1895</v>
      </c>
      <c r="D33" t="s">
        <v>173</v>
      </c>
      <c r="E33" t="s">
        <v>1346</v>
      </c>
      <c r="F33" s="20" t="s">
        <v>1896</v>
      </c>
      <c r="G33" t="s">
        <v>1723</v>
      </c>
      <c r="H33" s="17" t="s">
        <v>1897</v>
      </c>
      <c r="I33" s="18">
        <v>20</v>
      </c>
      <c r="J33" t="s">
        <v>176</v>
      </c>
      <c r="K33" t="s">
        <v>177</v>
      </c>
    </row>
    <row r="34" spans="1:11" x14ac:dyDescent="0.2">
      <c r="A34" t="s">
        <v>178</v>
      </c>
      <c r="B34" s="21" t="s">
        <v>179</v>
      </c>
      <c r="C34"/>
      <c r="D34" t="s">
        <v>73</v>
      </c>
      <c r="E34" t="s">
        <v>181</v>
      </c>
      <c r="F34" s="20"/>
      <c r="H34" s="17" t="s">
        <v>1089</v>
      </c>
      <c r="I34" s="18"/>
      <c r="J34" t="s">
        <v>180</v>
      </c>
    </row>
    <row r="35" spans="1:11" x14ac:dyDescent="0.2">
      <c r="A35" t="s">
        <v>811</v>
      </c>
      <c r="B35" s="21" t="s">
        <v>996</v>
      </c>
      <c r="C35"/>
      <c r="D35" t="s">
        <v>139</v>
      </c>
      <c r="E35" t="s">
        <v>1347</v>
      </c>
      <c r="F35" s="20"/>
      <c r="H35" s="17" t="s">
        <v>1090</v>
      </c>
      <c r="I35" s="18"/>
      <c r="J35" t="s">
        <v>812</v>
      </c>
      <c r="K35" t="s">
        <v>78</v>
      </c>
    </row>
    <row r="36" spans="1:11" x14ac:dyDescent="0.2">
      <c r="A36" t="s">
        <v>182</v>
      </c>
      <c r="B36" s="21" t="s">
        <v>898</v>
      </c>
      <c r="C36"/>
      <c r="D36" t="s">
        <v>111</v>
      </c>
      <c r="E36" t="s">
        <v>1348</v>
      </c>
      <c r="F36" s="20"/>
      <c r="H36" s="17" t="s">
        <v>1091</v>
      </c>
      <c r="I36" s="18">
        <v>34</v>
      </c>
      <c r="J36" t="s">
        <v>160</v>
      </c>
      <c r="K36" t="s">
        <v>94</v>
      </c>
    </row>
    <row r="37" spans="1:11" x14ac:dyDescent="0.2">
      <c r="A37" t="s">
        <v>183</v>
      </c>
      <c r="B37" s="21" t="s">
        <v>184</v>
      </c>
      <c r="C37"/>
      <c r="D37" t="s">
        <v>111</v>
      </c>
      <c r="E37" t="s">
        <v>185</v>
      </c>
      <c r="F37" s="20"/>
      <c r="H37" s="17"/>
      <c r="I37" s="18"/>
      <c r="J37">
        <v>24</v>
      </c>
      <c r="K37" t="s">
        <v>86</v>
      </c>
    </row>
    <row r="38" spans="1:11" x14ac:dyDescent="0.2">
      <c r="A38" t="s">
        <v>186</v>
      </c>
      <c r="B38" s="21" t="s">
        <v>187</v>
      </c>
      <c r="C38"/>
      <c r="D38" t="s">
        <v>120</v>
      </c>
      <c r="E38" t="s">
        <v>1349</v>
      </c>
      <c r="F38" s="20"/>
      <c r="H38" s="17" t="s">
        <v>1092</v>
      </c>
      <c r="I38" s="18">
        <v>30</v>
      </c>
      <c r="J38" t="s">
        <v>146</v>
      </c>
      <c r="K38" t="s">
        <v>94</v>
      </c>
    </row>
    <row r="39" spans="1:11" x14ac:dyDescent="0.2">
      <c r="A39" t="s">
        <v>188</v>
      </c>
      <c r="B39" s="21" t="s">
        <v>189</v>
      </c>
      <c r="C39"/>
      <c r="D39" t="s">
        <v>131</v>
      </c>
      <c r="E39" t="s">
        <v>191</v>
      </c>
      <c r="F39" s="20"/>
      <c r="H39" s="17" t="s">
        <v>1093</v>
      </c>
      <c r="I39" s="18">
        <v>45</v>
      </c>
      <c r="J39" t="s">
        <v>190</v>
      </c>
      <c r="K39" t="s">
        <v>82</v>
      </c>
    </row>
    <row r="40" spans="1:11" x14ac:dyDescent="0.2">
      <c r="A40" t="s">
        <v>192</v>
      </c>
      <c r="B40" s="21" t="s">
        <v>899</v>
      </c>
      <c r="C40"/>
      <c r="D40" t="s">
        <v>122</v>
      </c>
      <c r="E40" t="s">
        <v>123</v>
      </c>
      <c r="F40" s="20"/>
      <c r="H40" s="17" t="s">
        <v>1094</v>
      </c>
      <c r="I40" s="18">
        <v>30</v>
      </c>
      <c r="J40">
        <v>19</v>
      </c>
      <c r="K40">
        <v>7</v>
      </c>
    </row>
    <row r="41" spans="1:11" x14ac:dyDescent="0.2">
      <c r="A41" t="s">
        <v>193</v>
      </c>
      <c r="B41" s="21" t="s">
        <v>194</v>
      </c>
      <c r="C41"/>
      <c r="D41" t="s">
        <v>111</v>
      </c>
      <c r="E41" t="s">
        <v>196</v>
      </c>
      <c r="F41" s="20"/>
      <c r="H41" s="17" t="s">
        <v>195</v>
      </c>
      <c r="I41" s="18"/>
      <c r="J41"/>
    </row>
    <row r="42" spans="1:11" x14ac:dyDescent="0.2">
      <c r="A42" t="s">
        <v>197</v>
      </c>
      <c r="B42" s="21" t="s">
        <v>900</v>
      </c>
      <c r="C42"/>
      <c r="D42" t="s">
        <v>131</v>
      </c>
      <c r="E42" t="s">
        <v>199</v>
      </c>
      <c r="F42" s="20"/>
      <c r="H42" s="17" t="s">
        <v>1095</v>
      </c>
      <c r="I42" s="18">
        <v>40</v>
      </c>
      <c r="J42" t="s">
        <v>200</v>
      </c>
      <c r="K42" t="s">
        <v>164</v>
      </c>
    </row>
    <row r="43" spans="1:11" x14ac:dyDescent="0.2">
      <c r="A43" t="s">
        <v>201</v>
      </c>
      <c r="B43" s="21" t="s">
        <v>901</v>
      </c>
      <c r="C43"/>
      <c r="D43" t="s">
        <v>73</v>
      </c>
      <c r="E43" t="s">
        <v>202</v>
      </c>
      <c r="F43" s="20"/>
      <c r="H43" s="17" t="s">
        <v>1077</v>
      </c>
      <c r="I43" s="18">
        <v>38</v>
      </c>
      <c r="J43" t="s">
        <v>72</v>
      </c>
      <c r="K43" t="s">
        <v>82</v>
      </c>
    </row>
    <row r="44" spans="1:11" x14ac:dyDescent="0.2">
      <c r="A44" t="s">
        <v>920</v>
      </c>
      <c r="B44" s="21"/>
      <c r="C44"/>
      <c r="D44" t="s">
        <v>139</v>
      </c>
      <c r="E44" t="s">
        <v>933</v>
      </c>
      <c r="F44" s="20"/>
      <c r="H44" s="17" t="s">
        <v>1096</v>
      </c>
      <c r="I44" s="18">
        <v>34</v>
      </c>
      <c r="J44" t="s">
        <v>114</v>
      </c>
      <c r="K44" t="s">
        <v>82</v>
      </c>
    </row>
    <row r="45" spans="1:11" x14ac:dyDescent="0.2">
      <c r="A45" t="s">
        <v>203</v>
      </c>
      <c r="B45" s="21" t="s">
        <v>902</v>
      </c>
      <c r="C45"/>
      <c r="D45" t="s">
        <v>128</v>
      </c>
      <c r="E45" t="s">
        <v>1350</v>
      </c>
      <c r="F45" s="20"/>
      <c r="H45" s="17" t="s">
        <v>1097</v>
      </c>
      <c r="I45" s="18">
        <v>20</v>
      </c>
      <c r="J45" t="s">
        <v>204</v>
      </c>
      <c r="K45" t="s">
        <v>94</v>
      </c>
    </row>
    <row r="46" spans="1:11" x14ac:dyDescent="0.2">
      <c r="A46" t="s">
        <v>205</v>
      </c>
      <c r="B46" s="21" t="s">
        <v>206</v>
      </c>
      <c r="C46"/>
      <c r="D46" t="s">
        <v>128</v>
      </c>
      <c r="E46" t="s">
        <v>208</v>
      </c>
      <c r="F46" s="20"/>
      <c r="H46" s="17" t="s">
        <v>1098</v>
      </c>
      <c r="I46" s="18">
        <v>20</v>
      </c>
      <c r="J46" t="s">
        <v>207</v>
      </c>
      <c r="K46" t="s">
        <v>115</v>
      </c>
    </row>
    <row r="47" spans="1:11" x14ac:dyDescent="0.2">
      <c r="A47" t="s">
        <v>209</v>
      </c>
      <c r="B47" s="21" t="s">
        <v>10</v>
      </c>
      <c r="C47"/>
      <c r="D47" t="s">
        <v>210</v>
      </c>
      <c r="E47" t="s">
        <v>1351</v>
      </c>
      <c r="F47" s="20"/>
      <c r="H47" s="17" t="s">
        <v>1099</v>
      </c>
      <c r="I47" s="18">
        <v>10</v>
      </c>
      <c r="J47" t="s">
        <v>238</v>
      </c>
      <c r="K47" t="s">
        <v>78</v>
      </c>
    </row>
    <row r="48" spans="1:11" x14ac:dyDescent="0.2">
      <c r="A48" t="s">
        <v>211</v>
      </c>
      <c r="B48" s="21" t="s">
        <v>903</v>
      </c>
      <c r="C48"/>
      <c r="D48" t="s">
        <v>213</v>
      </c>
      <c r="E48" t="s">
        <v>214</v>
      </c>
      <c r="F48" s="20"/>
      <c r="H48" s="17" t="s">
        <v>212</v>
      </c>
      <c r="I48" s="18"/>
      <c r="J48" t="s">
        <v>81</v>
      </c>
      <c r="K48" t="s">
        <v>78</v>
      </c>
    </row>
    <row r="49" spans="1:11" x14ac:dyDescent="0.2">
      <c r="A49" t="s">
        <v>215</v>
      </c>
      <c r="B49" s="21" t="s">
        <v>216</v>
      </c>
      <c r="C49"/>
      <c r="D49" t="s">
        <v>135</v>
      </c>
      <c r="E49" t="s">
        <v>219</v>
      </c>
      <c r="F49" s="20"/>
      <c r="H49" s="17" t="s">
        <v>1100</v>
      </c>
      <c r="I49" s="18">
        <v>30</v>
      </c>
      <c r="J49" t="s">
        <v>217</v>
      </c>
      <c r="K49" t="s">
        <v>218</v>
      </c>
    </row>
    <row r="50" spans="1:11" x14ac:dyDescent="0.2">
      <c r="A50" t="s">
        <v>220</v>
      </c>
      <c r="B50" s="21" t="s">
        <v>221</v>
      </c>
      <c r="C50"/>
      <c r="D50" t="s">
        <v>128</v>
      </c>
      <c r="E50" t="s">
        <v>208</v>
      </c>
      <c r="F50" s="20"/>
      <c r="H50" s="17" t="s">
        <v>1101</v>
      </c>
      <c r="I50" s="18">
        <v>20</v>
      </c>
      <c r="J50" t="s">
        <v>222</v>
      </c>
      <c r="K50" t="s">
        <v>223</v>
      </c>
    </row>
    <row r="51" spans="1:11" x14ac:dyDescent="0.2">
      <c r="A51" t="s">
        <v>224</v>
      </c>
      <c r="B51" s="21" t="s">
        <v>225</v>
      </c>
      <c r="C51"/>
      <c r="D51" t="s">
        <v>228</v>
      </c>
      <c r="E51" t="s">
        <v>229</v>
      </c>
      <c r="F51" s="20"/>
      <c r="H51" s="17" t="s">
        <v>1102</v>
      </c>
      <c r="I51" s="18">
        <v>25</v>
      </c>
      <c r="J51" t="s">
        <v>226</v>
      </c>
      <c r="K51" t="s">
        <v>227</v>
      </c>
    </row>
    <row r="52" spans="1:11" x14ac:dyDescent="0.2">
      <c r="A52" t="s">
        <v>230</v>
      </c>
      <c r="B52" s="21" t="s">
        <v>175</v>
      </c>
      <c r="C52"/>
      <c r="D52" t="s">
        <v>232</v>
      </c>
      <c r="E52" t="s">
        <v>1352</v>
      </c>
      <c r="F52" s="20"/>
      <c r="H52" s="17" t="s">
        <v>1103</v>
      </c>
      <c r="I52" s="18">
        <v>20</v>
      </c>
      <c r="J52" t="s">
        <v>231</v>
      </c>
      <c r="K52" t="s">
        <v>82</v>
      </c>
    </row>
    <row r="53" spans="1:11" x14ac:dyDescent="0.2">
      <c r="A53" t="s">
        <v>233</v>
      </c>
      <c r="B53" s="21" t="s">
        <v>175</v>
      </c>
      <c r="C53"/>
      <c r="D53" t="s">
        <v>111</v>
      </c>
      <c r="E53">
        <v>207</v>
      </c>
      <c r="F53" s="20"/>
      <c r="H53" s="17" t="s">
        <v>1104</v>
      </c>
      <c r="I53" s="18">
        <v>34</v>
      </c>
      <c r="J53" t="s">
        <v>93</v>
      </c>
      <c r="K53" t="s">
        <v>94</v>
      </c>
    </row>
    <row r="54" spans="1:11" x14ac:dyDescent="0.2">
      <c r="A54" t="s">
        <v>234</v>
      </c>
      <c r="B54" s="21" t="s">
        <v>235</v>
      </c>
      <c r="C54"/>
      <c r="F54" s="20"/>
      <c r="H54" s="17" t="s">
        <v>1105</v>
      </c>
      <c r="I54" s="18"/>
      <c r="J54">
        <v>23</v>
      </c>
      <c r="K54">
        <v>7.5</v>
      </c>
    </row>
    <row r="55" spans="1:11" x14ac:dyDescent="0.2">
      <c r="A55" t="s">
        <v>236</v>
      </c>
      <c r="B55" s="21" t="s">
        <v>237</v>
      </c>
      <c r="C55"/>
      <c r="D55" t="s">
        <v>139</v>
      </c>
      <c r="E55" t="s">
        <v>239</v>
      </c>
      <c r="F55" s="20"/>
      <c r="H55" s="17" t="s">
        <v>1106</v>
      </c>
      <c r="I55" s="18">
        <v>34</v>
      </c>
      <c r="J55" t="s">
        <v>114</v>
      </c>
      <c r="K55" t="s">
        <v>238</v>
      </c>
    </row>
    <row r="56" spans="1:11" x14ac:dyDescent="0.2">
      <c r="A56" t="s">
        <v>240</v>
      </c>
      <c r="B56" s="21" t="s">
        <v>241</v>
      </c>
      <c r="C56"/>
      <c r="D56" t="s">
        <v>128</v>
      </c>
      <c r="E56" t="s">
        <v>242</v>
      </c>
      <c r="F56" s="20"/>
      <c r="H56" s="17" t="s">
        <v>1107</v>
      </c>
      <c r="I56" s="18">
        <v>20</v>
      </c>
      <c r="J56" t="s">
        <v>876</v>
      </c>
    </row>
    <row r="57" spans="1:11" x14ac:dyDescent="0.2">
      <c r="A57" t="s">
        <v>243</v>
      </c>
      <c r="B57" s="21" t="s">
        <v>76</v>
      </c>
      <c r="C57"/>
      <c r="D57" t="s">
        <v>228</v>
      </c>
      <c r="E57" t="s">
        <v>246</v>
      </c>
      <c r="F57" s="20"/>
      <c r="H57" s="17" t="s">
        <v>1108</v>
      </c>
      <c r="I57" s="18">
        <v>30</v>
      </c>
      <c r="J57" t="s">
        <v>244</v>
      </c>
      <c r="K57" t="s">
        <v>245</v>
      </c>
    </row>
    <row r="58" spans="1:11" x14ac:dyDescent="0.2">
      <c r="A58" t="s">
        <v>247</v>
      </c>
      <c r="B58" s="21" t="s">
        <v>175</v>
      </c>
      <c r="C58"/>
      <c r="D58" t="s">
        <v>248</v>
      </c>
      <c r="E58" t="s">
        <v>249</v>
      </c>
      <c r="F58" s="20"/>
      <c r="H58" s="17" t="s">
        <v>1081</v>
      </c>
      <c r="I58" s="18">
        <v>40</v>
      </c>
      <c r="J58" t="s">
        <v>142</v>
      </c>
      <c r="K58" t="s">
        <v>78</v>
      </c>
    </row>
    <row r="59" spans="1:11" x14ac:dyDescent="0.2">
      <c r="A59" t="s">
        <v>250</v>
      </c>
      <c r="B59" s="21" t="s">
        <v>251</v>
      </c>
      <c r="C59"/>
      <c r="D59" t="s">
        <v>213</v>
      </c>
      <c r="E59" t="s">
        <v>252</v>
      </c>
      <c r="F59" s="20"/>
      <c r="H59" s="17"/>
      <c r="I59" s="18"/>
      <c r="J59" t="s">
        <v>72</v>
      </c>
      <c r="K59" t="s">
        <v>115</v>
      </c>
    </row>
    <row r="60" spans="1:11" x14ac:dyDescent="0.2">
      <c r="A60" t="s">
        <v>253</v>
      </c>
      <c r="B60" s="21" t="s">
        <v>97</v>
      </c>
      <c r="C60"/>
      <c r="D60" t="s">
        <v>111</v>
      </c>
      <c r="E60" s="23">
        <v>308.00249003984067</v>
      </c>
      <c r="F60" s="20"/>
      <c r="H60" s="17" t="s">
        <v>1109</v>
      </c>
      <c r="I60" s="18">
        <v>30</v>
      </c>
      <c r="J60" t="s">
        <v>114</v>
      </c>
      <c r="K60" t="s">
        <v>254</v>
      </c>
    </row>
    <row r="61" spans="1:11" x14ac:dyDescent="0.2">
      <c r="A61" t="s">
        <v>912</v>
      </c>
      <c r="B61" s="21" t="s">
        <v>953</v>
      </c>
      <c r="C61"/>
      <c r="D61" t="s">
        <v>228</v>
      </c>
      <c r="E61" t="s">
        <v>925</v>
      </c>
      <c r="F61" s="20"/>
      <c r="H61" s="17" t="s">
        <v>1110</v>
      </c>
      <c r="I61" s="18">
        <v>30</v>
      </c>
      <c r="J61" t="s">
        <v>93</v>
      </c>
      <c r="K61" t="s">
        <v>94</v>
      </c>
    </row>
    <row r="62" spans="1:11" x14ac:dyDescent="0.2">
      <c r="A62" t="s">
        <v>255</v>
      </c>
      <c r="B62" s="21" t="s">
        <v>172</v>
      </c>
      <c r="C62"/>
      <c r="D62" t="s">
        <v>131</v>
      </c>
      <c r="E62" t="s">
        <v>258</v>
      </c>
      <c r="F62" s="20"/>
      <c r="H62" s="17" t="s">
        <v>1111</v>
      </c>
      <c r="I62" s="18">
        <v>40</v>
      </c>
      <c r="J62" t="s">
        <v>256</v>
      </c>
      <c r="K62" t="s">
        <v>257</v>
      </c>
    </row>
    <row r="63" spans="1:11" x14ac:dyDescent="0.2">
      <c r="A63" t="s">
        <v>259</v>
      </c>
      <c r="B63" s="21" t="s">
        <v>260</v>
      </c>
      <c r="C63"/>
      <c r="D63" t="s">
        <v>263</v>
      </c>
      <c r="E63" t="s">
        <v>264</v>
      </c>
      <c r="F63" s="20"/>
      <c r="H63" s="17" t="s">
        <v>1112</v>
      </c>
      <c r="I63" s="18">
        <v>38</v>
      </c>
      <c r="J63" t="s">
        <v>261</v>
      </c>
      <c r="K63" t="s">
        <v>262</v>
      </c>
    </row>
    <row r="64" spans="1:11" x14ac:dyDescent="0.2">
      <c r="A64" t="s">
        <v>804</v>
      </c>
      <c r="B64" s="21" t="s">
        <v>175</v>
      </c>
      <c r="C64"/>
      <c r="D64" t="s">
        <v>248</v>
      </c>
      <c r="E64" t="s">
        <v>1353</v>
      </c>
      <c r="F64" s="20"/>
      <c r="H64" s="17" t="s">
        <v>1113</v>
      </c>
      <c r="I64" s="18">
        <v>40</v>
      </c>
      <c r="J64" t="s">
        <v>805</v>
      </c>
      <c r="K64" t="s">
        <v>806</v>
      </c>
    </row>
    <row r="65" spans="1:11" x14ac:dyDescent="0.2">
      <c r="A65" t="s">
        <v>265</v>
      </c>
      <c r="B65" s="21" t="s">
        <v>997</v>
      </c>
      <c r="C65"/>
      <c r="D65" t="s">
        <v>120</v>
      </c>
      <c r="E65" t="s">
        <v>266</v>
      </c>
      <c r="F65" s="20"/>
      <c r="H65" s="17"/>
      <c r="I65" s="18"/>
      <c r="J65" t="s">
        <v>146</v>
      </c>
      <c r="K65" t="s">
        <v>94</v>
      </c>
    </row>
    <row r="66" spans="1:11" x14ac:dyDescent="0.2">
      <c r="A66" t="s">
        <v>267</v>
      </c>
      <c r="B66" s="21" t="s">
        <v>76</v>
      </c>
      <c r="C66"/>
      <c r="D66" t="s">
        <v>135</v>
      </c>
      <c r="E66" t="s">
        <v>268</v>
      </c>
      <c r="F66" s="20"/>
      <c r="H66" s="17"/>
      <c r="I66" s="18"/>
      <c r="J66"/>
    </row>
    <row r="67" spans="1:11" x14ac:dyDescent="0.2">
      <c r="A67" t="s">
        <v>269</v>
      </c>
      <c r="B67" s="21" t="s">
        <v>270</v>
      </c>
      <c r="C67"/>
      <c r="D67" t="s">
        <v>135</v>
      </c>
      <c r="E67" t="s">
        <v>1354</v>
      </c>
      <c r="F67" s="20"/>
      <c r="H67" s="17" t="s">
        <v>1114</v>
      </c>
      <c r="I67" s="18">
        <v>30</v>
      </c>
      <c r="J67" t="s">
        <v>271</v>
      </c>
      <c r="K67" t="s">
        <v>272</v>
      </c>
    </row>
    <row r="68" spans="1:11" x14ac:dyDescent="0.2">
      <c r="A68" t="s">
        <v>273</v>
      </c>
      <c r="B68" s="21" t="s">
        <v>274</v>
      </c>
      <c r="C68"/>
      <c r="D68" t="s">
        <v>111</v>
      </c>
      <c r="E68" t="s">
        <v>275</v>
      </c>
      <c r="F68" s="20"/>
      <c r="H68" s="17" t="s">
        <v>1115</v>
      </c>
      <c r="I68" s="18">
        <v>25</v>
      </c>
      <c r="J68" t="s">
        <v>160</v>
      </c>
      <c r="K68" t="s">
        <v>94</v>
      </c>
    </row>
    <row r="69" spans="1:11" x14ac:dyDescent="0.2">
      <c r="A69" t="s">
        <v>276</v>
      </c>
      <c r="B69" s="21" t="s">
        <v>172</v>
      </c>
      <c r="C69"/>
      <c r="D69" t="s">
        <v>111</v>
      </c>
      <c r="E69">
        <v>508</v>
      </c>
      <c r="F69" s="20"/>
      <c r="H69" s="17" t="s">
        <v>277</v>
      </c>
      <c r="I69" s="18"/>
      <c r="J69" t="s">
        <v>278</v>
      </c>
      <c r="K69" t="s">
        <v>238</v>
      </c>
    </row>
    <row r="70" spans="1:11" x14ac:dyDescent="0.2">
      <c r="A70" t="s">
        <v>279</v>
      </c>
      <c r="B70" s="21" t="s">
        <v>101</v>
      </c>
      <c r="C70"/>
      <c r="D70" t="s">
        <v>73</v>
      </c>
      <c r="E70" t="s">
        <v>95</v>
      </c>
      <c r="F70" s="20">
        <v>41011</v>
      </c>
      <c r="G70" t="s">
        <v>1453</v>
      </c>
      <c r="H70" s="17" t="s">
        <v>2519</v>
      </c>
      <c r="I70" s="18">
        <v>38</v>
      </c>
      <c r="J70" t="s">
        <v>280</v>
      </c>
      <c r="K70" t="s">
        <v>94</v>
      </c>
    </row>
    <row r="71" spans="1:11" x14ac:dyDescent="0.2">
      <c r="A71" t="s">
        <v>281</v>
      </c>
      <c r="B71" s="21" t="s">
        <v>998</v>
      </c>
      <c r="C71"/>
      <c r="D71" t="s">
        <v>228</v>
      </c>
      <c r="E71" t="s">
        <v>282</v>
      </c>
      <c r="F71" s="20">
        <v>41194</v>
      </c>
      <c r="G71" t="s">
        <v>1482</v>
      </c>
      <c r="H71" s="17" t="s">
        <v>2577</v>
      </c>
      <c r="I71" s="18" t="s">
        <v>1484</v>
      </c>
      <c r="J71" t="s">
        <v>72</v>
      </c>
      <c r="K71" t="s">
        <v>238</v>
      </c>
    </row>
    <row r="72" spans="1:11" x14ac:dyDescent="0.2">
      <c r="A72" t="s">
        <v>283</v>
      </c>
      <c r="B72" s="21" t="s">
        <v>284</v>
      </c>
      <c r="C72"/>
      <c r="D72" t="s">
        <v>111</v>
      </c>
      <c r="E72">
        <v>208</v>
      </c>
      <c r="F72" s="20">
        <v>41456</v>
      </c>
      <c r="G72" t="s">
        <v>1735</v>
      </c>
      <c r="H72" s="17" t="s">
        <v>2704</v>
      </c>
      <c r="I72" s="18" t="s">
        <v>2065</v>
      </c>
      <c r="J72" t="s">
        <v>2705</v>
      </c>
      <c r="K72" t="s">
        <v>94</v>
      </c>
    </row>
    <row r="73" spans="1:11" x14ac:dyDescent="0.2">
      <c r="A73" t="s">
        <v>286</v>
      </c>
      <c r="B73" s="21" t="s">
        <v>287</v>
      </c>
      <c r="C73"/>
      <c r="D73" t="s">
        <v>73</v>
      </c>
      <c r="E73" t="s">
        <v>202</v>
      </c>
      <c r="F73" s="20"/>
      <c r="H73" s="17" t="s">
        <v>1117</v>
      </c>
      <c r="I73" s="18">
        <v>37</v>
      </c>
      <c r="J73" t="s">
        <v>72</v>
      </c>
      <c r="K73" t="s">
        <v>82</v>
      </c>
    </row>
    <row r="74" spans="1:11" x14ac:dyDescent="0.2">
      <c r="A74" t="s">
        <v>288</v>
      </c>
      <c r="B74" s="21" t="s">
        <v>289</v>
      </c>
      <c r="C74"/>
      <c r="D74" t="s">
        <v>128</v>
      </c>
      <c r="E74" t="s">
        <v>150</v>
      </c>
      <c r="F74" s="20"/>
      <c r="H74" s="17" t="s">
        <v>1118</v>
      </c>
      <c r="I74" s="18">
        <v>20</v>
      </c>
      <c r="J74" t="s">
        <v>290</v>
      </c>
      <c r="K74" t="s">
        <v>94</v>
      </c>
    </row>
    <row r="75" spans="1:11" x14ac:dyDescent="0.2">
      <c r="A75" t="s">
        <v>291</v>
      </c>
      <c r="B75" s="21" t="s">
        <v>292</v>
      </c>
      <c r="C75"/>
      <c r="D75" t="s">
        <v>139</v>
      </c>
      <c r="E75" t="s">
        <v>161</v>
      </c>
      <c r="F75" s="20"/>
      <c r="H75" s="17" t="s">
        <v>1119</v>
      </c>
      <c r="I75" s="18">
        <v>37</v>
      </c>
      <c r="J75" t="s">
        <v>160</v>
      </c>
      <c r="K75" t="s">
        <v>218</v>
      </c>
    </row>
    <row r="76" spans="1:11" x14ac:dyDescent="0.2">
      <c r="A76" t="s">
        <v>293</v>
      </c>
      <c r="B76" s="21" t="s">
        <v>294</v>
      </c>
      <c r="C76"/>
      <c r="D76" t="s">
        <v>173</v>
      </c>
      <c r="E76" t="s">
        <v>297</v>
      </c>
      <c r="F76" s="20"/>
      <c r="H76" s="17" t="s">
        <v>1120</v>
      </c>
      <c r="I76" s="18">
        <v>50</v>
      </c>
      <c r="J76" t="s">
        <v>295</v>
      </c>
      <c r="K76" t="s">
        <v>296</v>
      </c>
    </row>
    <row r="77" spans="1:11" x14ac:dyDescent="0.2">
      <c r="A77" t="s">
        <v>298</v>
      </c>
      <c r="B77" s="21" t="s">
        <v>999</v>
      </c>
      <c r="C77"/>
      <c r="D77" t="s">
        <v>120</v>
      </c>
      <c r="E77" t="s">
        <v>300</v>
      </c>
      <c r="F77" s="20"/>
      <c r="H77" s="17" t="s">
        <v>1121</v>
      </c>
      <c r="I77" s="18"/>
      <c r="J77" t="s">
        <v>299</v>
      </c>
      <c r="K77" t="s">
        <v>82</v>
      </c>
    </row>
    <row r="78" spans="1:11" x14ac:dyDescent="0.2">
      <c r="A78" t="s">
        <v>814</v>
      </c>
      <c r="B78" s="21" t="s">
        <v>1000</v>
      </c>
      <c r="C78"/>
      <c r="D78" t="s">
        <v>111</v>
      </c>
      <c r="E78" t="s">
        <v>1355</v>
      </c>
      <c r="F78" s="20"/>
      <c r="H78" s="17" t="s">
        <v>1122</v>
      </c>
      <c r="I78" s="18">
        <v>34</v>
      </c>
      <c r="J78" t="s">
        <v>584</v>
      </c>
      <c r="K78" t="s">
        <v>94</v>
      </c>
    </row>
    <row r="79" spans="1:11" x14ac:dyDescent="0.2">
      <c r="A79" t="s">
        <v>301</v>
      </c>
      <c r="B79" s="21" t="s">
        <v>904</v>
      </c>
      <c r="C79"/>
      <c r="D79" t="s">
        <v>173</v>
      </c>
      <c r="E79" t="s">
        <v>174</v>
      </c>
      <c r="F79" s="20"/>
      <c r="H79" s="17" t="s">
        <v>1123</v>
      </c>
      <c r="I79" s="18"/>
      <c r="J79" t="s">
        <v>1323</v>
      </c>
      <c r="K79" t="s">
        <v>302</v>
      </c>
    </row>
    <row r="80" spans="1:11" x14ac:dyDescent="0.2">
      <c r="A80" t="s">
        <v>303</v>
      </c>
      <c r="B80" s="21" t="s">
        <v>138</v>
      </c>
      <c r="C80" t="s">
        <v>2014</v>
      </c>
      <c r="D80" t="s">
        <v>139</v>
      </c>
      <c r="E80" t="s">
        <v>304</v>
      </c>
      <c r="F80" s="20"/>
      <c r="G80" t="s">
        <v>1704</v>
      </c>
      <c r="H80" s="17" t="s">
        <v>2015</v>
      </c>
      <c r="I80" s="18" t="s">
        <v>1104</v>
      </c>
      <c r="J80" t="s">
        <v>93</v>
      </c>
      <c r="K80" t="s">
        <v>78</v>
      </c>
    </row>
    <row r="81" spans="1:11" x14ac:dyDescent="0.2">
      <c r="A81" t="s">
        <v>305</v>
      </c>
      <c r="B81" s="21" t="s">
        <v>1001</v>
      </c>
      <c r="C81"/>
      <c r="F81" s="20"/>
      <c r="H81" s="17" t="s">
        <v>1124</v>
      </c>
      <c r="I81" s="18">
        <v>30</v>
      </c>
      <c r="J81"/>
    </row>
    <row r="82" spans="1:11" x14ac:dyDescent="0.2">
      <c r="A82" t="s">
        <v>306</v>
      </c>
      <c r="B82" s="21" t="s">
        <v>307</v>
      </c>
      <c r="C82"/>
      <c r="D82" t="s">
        <v>111</v>
      </c>
      <c r="E82">
        <v>208</v>
      </c>
      <c r="F82" s="20"/>
      <c r="H82" s="17" t="s">
        <v>1125</v>
      </c>
      <c r="I82" s="18">
        <v>34</v>
      </c>
      <c r="J82" t="s">
        <v>308</v>
      </c>
      <c r="K82" t="s">
        <v>218</v>
      </c>
    </row>
    <row r="83" spans="1:11" x14ac:dyDescent="0.2">
      <c r="A83" t="s">
        <v>309</v>
      </c>
      <c r="B83" s="21" t="s">
        <v>310</v>
      </c>
      <c r="C83"/>
      <c r="D83" t="s">
        <v>131</v>
      </c>
      <c r="E83" t="s">
        <v>258</v>
      </c>
      <c r="F83" s="20" t="s">
        <v>2506</v>
      </c>
      <c r="G83" t="s">
        <v>1467</v>
      </c>
      <c r="H83" s="17" t="s">
        <v>2507</v>
      </c>
      <c r="I83" s="18" t="s">
        <v>2060</v>
      </c>
      <c r="J83" t="s">
        <v>256</v>
      </c>
      <c r="K83" t="s">
        <v>257</v>
      </c>
    </row>
    <row r="84" spans="1:11" x14ac:dyDescent="0.2">
      <c r="A84" t="s">
        <v>311</v>
      </c>
      <c r="B84" s="21" t="s">
        <v>313</v>
      </c>
      <c r="C84"/>
      <c r="D84" t="s">
        <v>232</v>
      </c>
      <c r="E84" t="s">
        <v>312</v>
      </c>
      <c r="F84" s="20"/>
      <c r="H84" s="17" t="s">
        <v>1126</v>
      </c>
      <c r="I84" s="18">
        <v>35</v>
      </c>
      <c r="J84" t="s">
        <v>142</v>
      </c>
      <c r="K84" t="s">
        <v>78</v>
      </c>
    </row>
    <row r="85" spans="1:11" x14ac:dyDescent="0.2">
      <c r="A85" t="s">
        <v>314</v>
      </c>
      <c r="B85" s="21" t="s">
        <v>103</v>
      </c>
      <c r="C85"/>
      <c r="D85" t="s">
        <v>315</v>
      </c>
      <c r="E85" t="s">
        <v>316</v>
      </c>
      <c r="F85" s="20"/>
      <c r="H85" s="17" t="s">
        <v>1127</v>
      </c>
      <c r="I85" s="18">
        <v>30</v>
      </c>
      <c r="J85" t="s">
        <v>877</v>
      </c>
      <c r="K85" t="s">
        <v>878</v>
      </c>
    </row>
    <row r="86" spans="1:11" x14ac:dyDescent="0.2">
      <c r="A86" t="s">
        <v>317</v>
      </c>
      <c r="B86" s="21" t="s">
        <v>905</v>
      </c>
      <c r="C86"/>
      <c r="D86" t="s">
        <v>120</v>
      </c>
      <c r="E86" t="s">
        <v>319</v>
      </c>
      <c r="F86" s="20"/>
      <c r="H86" s="17" t="s">
        <v>1128</v>
      </c>
      <c r="I86" s="18">
        <v>30</v>
      </c>
      <c r="J86" t="s">
        <v>118</v>
      </c>
      <c r="K86" t="s">
        <v>318</v>
      </c>
    </row>
    <row r="87" spans="1:11" x14ac:dyDescent="0.2">
      <c r="A87" t="s">
        <v>320</v>
      </c>
      <c r="B87" s="21" t="s">
        <v>1002</v>
      </c>
      <c r="C87"/>
      <c r="D87" t="s">
        <v>210</v>
      </c>
      <c r="E87" t="s">
        <v>321</v>
      </c>
      <c r="F87" s="20"/>
      <c r="H87" s="17"/>
      <c r="I87" s="18"/>
      <c r="J87" t="s">
        <v>231</v>
      </c>
      <c r="K87" t="s">
        <v>82</v>
      </c>
    </row>
    <row r="88" spans="1:11" x14ac:dyDescent="0.2">
      <c r="A88" t="s">
        <v>322</v>
      </c>
      <c r="B88" s="21" t="s">
        <v>172</v>
      </c>
      <c r="C88"/>
      <c r="D88" t="s">
        <v>131</v>
      </c>
      <c r="E88" t="s">
        <v>165</v>
      </c>
      <c r="F88" s="20"/>
      <c r="H88" s="17" t="s">
        <v>1129</v>
      </c>
      <c r="I88" s="18">
        <v>40</v>
      </c>
      <c r="J88" t="s">
        <v>163</v>
      </c>
      <c r="K88" t="s">
        <v>164</v>
      </c>
    </row>
    <row r="89" spans="1:11" x14ac:dyDescent="0.2">
      <c r="A89" t="s">
        <v>323</v>
      </c>
      <c r="B89" s="21" t="s">
        <v>324</v>
      </c>
      <c r="C89"/>
      <c r="D89" t="s">
        <v>128</v>
      </c>
      <c r="E89" t="s">
        <v>326</v>
      </c>
      <c r="F89" s="20"/>
      <c r="H89" s="17" t="s">
        <v>1130</v>
      </c>
      <c r="I89" s="18"/>
      <c r="J89" t="s">
        <v>325</v>
      </c>
      <c r="K89" t="s">
        <v>296</v>
      </c>
    </row>
    <row r="90" spans="1:11" x14ac:dyDescent="0.2">
      <c r="A90" t="s">
        <v>327</v>
      </c>
      <c r="B90" s="21" t="s">
        <v>175</v>
      </c>
      <c r="C90"/>
      <c r="D90" t="s">
        <v>120</v>
      </c>
      <c r="E90" t="s">
        <v>1356</v>
      </c>
      <c r="F90" s="20"/>
      <c r="H90" s="17" t="s">
        <v>1131</v>
      </c>
      <c r="I90" s="18">
        <v>30</v>
      </c>
      <c r="J90" t="s">
        <v>299</v>
      </c>
      <c r="K90" t="s">
        <v>82</v>
      </c>
    </row>
    <row r="91" spans="1:11" x14ac:dyDescent="0.2">
      <c r="A91" t="s">
        <v>328</v>
      </c>
      <c r="B91" s="21" t="s">
        <v>329</v>
      </c>
      <c r="C91"/>
      <c r="D91" t="s">
        <v>111</v>
      </c>
      <c r="E91">
        <v>308</v>
      </c>
      <c r="F91" s="20"/>
      <c r="H91" s="17" t="s">
        <v>1132</v>
      </c>
      <c r="I91" s="18">
        <v>34</v>
      </c>
      <c r="J91" t="s">
        <v>114</v>
      </c>
      <c r="K91" t="s">
        <v>254</v>
      </c>
    </row>
    <row r="92" spans="1:11" x14ac:dyDescent="0.2">
      <c r="A92" t="s">
        <v>330</v>
      </c>
      <c r="B92" s="21" t="s">
        <v>1003</v>
      </c>
      <c r="C92"/>
      <c r="D92" t="s">
        <v>122</v>
      </c>
      <c r="E92" t="s">
        <v>332</v>
      </c>
      <c r="F92" s="20"/>
      <c r="H92" s="17" t="s">
        <v>1133</v>
      </c>
      <c r="I92" s="18"/>
      <c r="J92" t="s">
        <v>331</v>
      </c>
      <c r="K92" t="s">
        <v>93</v>
      </c>
    </row>
    <row r="93" spans="1:11" x14ac:dyDescent="0.2">
      <c r="A93" t="s">
        <v>978</v>
      </c>
      <c r="B93" s="21" t="s">
        <v>1004</v>
      </c>
      <c r="C93"/>
      <c r="D93" t="s">
        <v>73</v>
      </c>
      <c r="E93" t="s">
        <v>95</v>
      </c>
      <c r="F93" s="20"/>
      <c r="H93" s="17" t="s">
        <v>1134</v>
      </c>
      <c r="I93" s="18">
        <v>38</v>
      </c>
      <c r="J93" t="s">
        <v>93</v>
      </c>
      <c r="K93" t="s">
        <v>94</v>
      </c>
    </row>
    <row r="94" spans="1:11" x14ac:dyDescent="0.2">
      <c r="A94" t="s">
        <v>333</v>
      </c>
      <c r="B94" s="21" t="s">
        <v>334</v>
      </c>
      <c r="C94"/>
      <c r="D94" t="s">
        <v>128</v>
      </c>
      <c r="E94" t="s">
        <v>336</v>
      </c>
      <c r="F94" s="20" t="s">
        <v>2485</v>
      </c>
      <c r="G94" t="s">
        <v>1723</v>
      </c>
      <c r="H94" s="17" t="s">
        <v>2486</v>
      </c>
      <c r="I94" s="18" t="s">
        <v>1611</v>
      </c>
      <c r="J94" t="s">
        <v>335</v>
      </c>
      <c r="K94" t="s">
        <v>78</v>
      </c>
    </row>
    <row r="95" spans="1:11" x14ac:dyDescent="0.2">
      <c r="A95" t="s">
        <v>337</v>
      </c>
      <c r="B95" s="21" t="s">
        <v>101</v>
      </c>
      <c r="C95"/>
      <c r="D95" t="s">
        <v>73</v>
      </c>
      <c r="E95" t="s">
        <v>95</v>
      </c>
      <c r="F95" s="20"/>
      <c r="H95" s="17" t="s">
        <v>1135</v>
      </c>
      <c r="I95" s="18">
        <v>38</v>
      </c>
      <c r="J95" t="s">
        <v>338</v>
      </c>
      <c r="K95" t="s">
        <v>339</v>
      </c>
    </row>
    <row r="96" spans="1:11" x14ac:dyDescent="0.2">
      <c r="A96" t="s">
        <v>340</v>
      </c>
      <c r="B96" s="21" t="s">
        <v>1005</v>
      </c>
      <c r="C96"/>
      <c r="D96" t="s">
        <v>128</v>
      </c>
      <c r="E96" t="s">
        <v>342</v>
      </c>
      <c r="F96" s="20"/>
      <c r="H96" s="17" t="s">
        <v>1136</v>
      </c>
      <c r="I96" s="18">
        <v>20</v>
      </c>
      <c r="J96" t="s">
        <v>341</v>
      </c>
      <c r="K96" t="s">
        <v>78</v>
      </c>
    </row>
    <row r="97" spans="1:11" x14ac:dyDescent="0.2">
      <c r="A97" t="s">
        <v>343</v>
      </c>
      <c r="B97" s="21" t="s">
        <v>1006</v>
      </c>
      <c r="C97"/>
      <c r="D97" t="s">
        <v>131</v>
      </c>
      <c r="E97" t="s">
        <v>345</v>
      </c>
      <c r="F97" s="20"/>
      <c r="H97" s="17" t="s">
        <v>1137</v>
      </c>
      <c r="I97" s="18">
        <v>45</v>
      </c>
      <c r="J97" t="s">
        <v>344</v>
      </c>
      <c r="K97" t="s">
        <v>164</v>
      </c>
    </row>
    <row r="98" spans="1:11" x14ac:dyDescent="0.2">
      <c r="A98" t="s">
        <v>821</v>
      </c>
      <c r="B98" s="21" t="s">
        <v>1007</v>
      </c>
      <c r="C98"/>
      <c r="D98" t="s">
        <v>111</v>
      </c>
      <c r="E98" t="s">
        <v>1357</v>
      </c>
      <c r="F98" s="20"/>
      <c r="G98" t="s">
        <v>1453</v>
      </c>
      <c r="H98" s="17" t="s">
        <v>1454</v>
      </c>
      <c r="I98" s="18">
        <v>34</v>
      </c>
      <c r="J98" t="s">
        <v>308</v>
      </c>
      <c r="K98" t="s">
        <v>94</v>
      </c>
    </row>
    <row r="99" spans="1:11" x14ac:dyDescent="0.2">
      <c r="A99" t="s">
        <v>803</v>
      </c>
      <c r="B99" s="21" t="s">
        <v>1008</v>
      </c>
      <c r="C99"/>
      <c r="D99" t="s">
        <v>128</v>
      </c>
      <c r="E99" t="s">
        <v>1358</v>
      </c>
      <c r="F99" s="20"/>
      <c r="H99" s="17" t="s">
        <v>1138</v>
      </c>
      <c r="I99" s="18">
        <v>20</v>
      </c>
      <c r="J99" t="s">
        <v>204</v>
      </c>
      <c r="K99" t="s">
        <v>78</v>
      </c>
    </row>
    <row r="100" spans="1:11" x14ac:dyDescent="0.2">
      <c r="A100" t="s">
        <v>346</v>
      </c>
      <c r="B100" s="21" t="s">
        <v>1009</v>
      </c>
      <c r="C100"/>
      <c r="D100" t="s">
        <v>248</v>
      </c>
      <c r="E100" t="s">
        <v>2307</v>
      </c>
      <c r="F100" s="20">
        <v>41639</v>
      </c>
      <c r="G100" t="s">
        <v>1453</v>
      </c>
      <c r="H100" s="17" t="s">
        <v>2308</v>
      </c>
      <c r="I100" s="18">
        <v>14</v>
      </c>
      <c r="J100" t="s">
        <v>347</v>
      </c>
      <c r="K100" t="s">
        <v>348</v>
      </c>
    </row>
    <row r="101" spans="1:11" x14ac:dyDescent="0.2">
      <c r="A101" t="s">
        <v>843</v>
      </c>
      <c r="B101" s="21" t="s">
        <v>844</v>
      </c>
      <c r="C101"/>
      <c r="D101" t="s">
        <v>83</v>
      </c>
      <c r="E101" t="s">
        <v>1359</v>
      </c>
      <c r="F101" s="20"/>
      <c r="H101" s="17" t="s">
        <v>1139</v>
      </c>
      <c r="I101" s="18">
        <v>39</v>
      </c>
      <c r="J101" t="s">
        <v>77</v>
      </c>
      <c r="K101" t="s">
        <v>78</v>
      </c>
    </row>
    <row r="102" spans="1:11" x14ac:dyDescent="0.2">
      <c r="A102" t="s">
        <v>815</v>
      </c>
      <c r="B102" s="21" t="s">
        <v>1010</v>
      </c>
      <c r="C102"/>
      <c r="D102" t="s">
        <v>73</v>
      </c>
      <c r="E102" t="s">
        <v>1360</v>
      </c>
      <c r="F102" s="20"/>
      <c r="H102" s="17" t="s">
        <v>1140</v>
      </c>
      <c r="I102" s="18">
        <v>38</v>
      </c>
      <c r="J102" t="s">
        <v>77</v>
      </c>
      <c r="K102" t="s">
        <v>94</v>
      </c>
    </row>
    <row r="103" spans="1:11" x14ac:dyDescent="0.2">
      <c r="A103" t="s">
        <v>349</v>
      </c>
      <c r="B103" s="21" t="s">
        <v>175</v>
      </c>
      <c r="C103"/>
      <c r="F103" s="20"/>
      <c r="H103" s="17"/>
      <c r="I103" s="18"/>
      <c r="J103"/>
    </row>
    <row r="104" spans="1:11" x14ac:dyDescent="0.2">
      <c r="A104" t="s">
        <v>350</v>
      </c>
      <c r="B104" s="21" t="s">
        <v>1011</v>
      </c>
      <c r="C104"/>
      <c r="D104" t="s">
        <v>111</v>
      </c>
      <c r="E104">
        <v>308</v>
      </c>
      <c r="F104" s="20"/>
      <c r="H104" s="17" t="s">
        <v>1141</v>
      </c>
      <c r="I104" s="18">
        <v>30</v>
      </c>
      <c r="J104">
        <v>24</v>
      </c>
      <c r="K104" t="s">
        <v>254</v>
      </c>
    </row>
    <row r="105" spans="1:11" x14ac:dyDescent="0.2">
      <c r="A105" t="s">
        <v>979</v>
      </c>
      <c r="B105" s="21" t="s">
        <v>172</v>
      </c>
      <c r="C105"/>
      <c r="D105" t="s">
        <v>351</v>
      </c>
      <c r="F105" s="20"/>
      <c r="H105" s="17" t="s">
        <v>1142</v>
      </c>
      <c r="I105" s="18">
        <v>34</v>
      </c>
      <c r="J105" t="s">
        <v>308</v>
      </c>
      <c r="K105" t="s">
        <v>94</v>
      </c>
    </row>
    <row r="106" spans="1:11" x14ac:dyDescent="0.2">
      <c r="A106" t="s">
        <v>352</v>
      </c>
      <c r="B106" s="21" t="s">
        <v>353</v>
      </c>
      <c r="C106"/>
      <c r="D106" t="s">
        <v>173</v>
      </c>
      <c r="E106" t="s">
        <v>174</v>
      </c>
      <c r="F106" s="20"/>
      <c r="H106" s="17" t="s">
        <v>1118</v>
      </c>
      <c r="I106" s="18">
        <v>20</v>
      </c>
      <c r="J106" t="s">
        <v>295</v>
      </c>
      <c r="K106" t="s">
        <v>78</v>
      </c>
    </row>
    <row r="107" spans="1:11" x14ac:dyDescent="0.2">
      <c r="A107" t="s">
        <v>354</v>
      </c>
      <c r="B107" s="21" t="s">
        <v>355</v>
      </c>
      <c r="C107"/>
      <c r="D107" t="s">
        <v>73</v>
      </c>
      <c r="E107" t="s">
        <v>95</v>
      </c>
      <c r="F107" s="20"/>
      <c r="H107" s="17" t="s">
        <v>1143</v>
      </c>
      <c r="I107" s="18">
        <v>38</v>
      </c>
      <c r="J107" t="s">
        <v>77</v>
      </c>
      <c r="K107" t="s">
        <v>94</v>
      </c>
    </row>
    <row r="108" spans="1:11" x14ac:dyDescent="0.2">
      <c r="A108" t="s">
        <v>356</v>
      </c>
      <c r="B108" s="21" t="s">
        <v>906</v>
      </c>
      <c r="C108"/>
      <c r="D108" t="s">
        <v>128</v>
      </c>
      <c r="E108" t="s">
        <v>342</v>
      </c>
      <c r="F108" s="20"/>
      <c r="H108" s="17" t="s">
        <v>1144</v>
      </c>
      <c r="I108" s="18">
        <v>20</v>
      </c>
      <c r="J108" t="s">
        <v>357</v>
      </c>
      <c r="K108" t="s">
        <v>302</v>
      </c>
    </row>
    <row r="109" spans="1:11" x14ac:dyDescent="0.2">
      <c r="A109" t="s">
        <v>358</v>
      </c>
      <c r="B109" s="21" t="s">
        <v>239</v>
      </c>
      <c r="C109"/>
      <c r="D109" t="s">
        <v>139</v>
      </c>
      <c r="E109" t="s">
        <v>239</v>
      </c>
      <c r="F109" s="20"/>
      <c r="H109" s="17" t="s">
        <v>359</v>
      </c>
      <c r="I109" s="18"/>
      <c r="J109" t="s">
        <v>114</v>
      </c>
      <c r="K109" t="s">
        <v>238</v>
      </c>
    </row>
    <row r="110" spans="1:11" x14ac:dyDescent="0.2">
      <c r="A110" t="s">
        <v>360</v>
      </c>
      <c r="B110" s="21" t="s">
        <v>361</v>
      </c>
      <c r="C110"/>
      <c r="D110" t="s">
        <v>139</v>
      </c>
      <c r="E110" t="s">
        <v>239</v>
      </c>
      <c r="F110" s="20"/>
      <c r="H110" s="17" t="s">
        <v>1132</v>
      </c>
      <c r="I110" s="18">
        <v>34</v>
      </c>
      <c r="J110" t="s">
        <v>114</v>
      </c>
      <c r="K110" t="s">
        <v>238</v>
      </c>
    </row>
    <row r="111" spans="1:11" x14ac:dyDescent="0.2">
      <c r="A111" t="s">
        <v>362</v>
      </c>
      <c r="B111" s="21" t="s">
        <v>363</v>
      </c>
      <c r="C111"/>
      <c r="D111" t="s">
        <v>131</v>
      </c>
      <c r="E111" t="s">
        <v>199</v>
      </c>
      <c r="F111" s="20">
        <v>41979</v>
      </c>
      <c r="G111" t="s">
        <v>1467</v>
      </c>
      <c r="H111" s="17" t="s">
        <v>2316</v>
      </c>
      <c r="I111" s="18" t="s">
        <v>2582</v>
      </c>
      <c r="J111" t="s">
        <v>364</v>
      </c>
      <c r="K111" t="s">
        <v>198</v>
      </c>
    </row>
    <row r="112" spans="1:11" x14ac:dyDescent="0.2">
      <c r="A112" t="s">
        <v>365</v>
      </c>
      <c r="B112" s="21" t="s">
        <v>1012</v>
      </c>
      <c r="C112"/>
      <c r="D112" t="s">
        <v>111</v>
      </c>
      <c r="E112" t="s">
        <v>366</v>
      </c>
      <c r="F112" s="20"/>
      <c r="H112" s="17" t="s">
        <v>1145</v>
      </c>
      <c r="I112" s="18">
        <v>25</v>
      </c>
      <c r="J112" t="s">
        <v>160</v>
      </c>
      <c r="K112" t="s">
        <v>94</v>
      </c>
    </row>
    <row r="113" spans="1:11" x14ac:dyDescent="0.2">
      <c r="A113" t="s">
        <v>367</v>
      </c>
      <c r="B113" s="21" t="s">
        <v>368</v>
      </c>
      <c r="C113"/>
      <c r="D113" t="s">
        <v>128</v>
      </c>
      <c r="E113" t="s">
        <v>369</v>
      </c>
      <c r="F113" s="20"/>
      <c r="H113" s="17" t="s">
        <v>1146</v>
      </c>
      <c r="I113" s="18">
        <v>20</v>
      </c>
      <c r="J113" t="s">
        <v>204</v>
      </c>
      <c r="K113" t="s">
        <v>94</v>
      </c>
    </row>
    <row r="114" spans="1:11" x14ac:dyDescent="0.2">
      <c r="A114" t="s">
        <v>370</v>
      </c>
      <c r="B114" s="21" t="s">
        <v>1013</v>
      </c>
      <c r="C114"/>
      <c r="D114" t="s">
        <v>173</v>
      </c>
      <c r="E114" t="s">
        <v>174</v>
      </c>
      <c r="F114" s="20"/>
      <c r="H114" s="17" t="s">
        <v>1147</v>
      </c>
      <c r="I114" s="18"/>
      <c r="J114" t="s">
        <v>371</v>
      </c>
      <c r="K114" t="s">
        <v>78</v>
      </c>
    </row>
    <row r="115" spans="1:11" x14ac:dyDescent="0.2">
      <c r="A115" t="s">
        <v>372</v>
      </c>
      <c r="B115" s="21" t="s">
        <v>373</v>
      </c>
      <c r="C115"/>
      <c r="D115" t="s">
        <v>375</v>
      </c>
      <c r="E115" t="s">
        <v>376</v>
      </c>
      <c r="F115" s="89">
        <v>39470</v>
      </c>
      <c r="G115" s="21" t="s">
        <v>1459</v>
      </c>
      <c r="H115" s="90" t="s">
        <v>1954</v>
      </c>
      <c r="I115" s="92" t="s">
        <v>1093</v>
      </c>
      <c r="J115" t="s">
        <v>374</v>
      </c>
      <c r="K115" t="s">
        <v>82</v>
      </c>
    </row>
    <row r="116" spans="1:11" x14ac:dyDescent="0.2">
      <c r="A116" t="s">
        <v>842</v>
      </c>
      <c r="B116" s="21" t="s">
        <v>1014</v>
      </c>
      <c r="C116"/>
      <c r="D116" t="s">
        <v>173</v>
      </c>
      <c r="E116" t="s">
        <v>1361</v>
      </c>
      <c r="F116" s="20"/>
      <c r="H116" s="17" t="s">
        <v>1148</v>
      </c>
      <c r="I116" s="18">
        <v>20</v>
      </c>
      <c r="J116" t="s">
        <v>176</v>
      </c>
      <c r="K116" t="s">
        <v>78</v>
      </c>
    </row>
    <row r="117" spans="1:11" x14ac:dyDescent="0.2">
      <c r="A117" t="s">
        <v>377</v>
      </c>
      <c r="B117" s="21" t="s">
        <v>1015</v>
      </c>
      <c r="C117"/>
      <c r="D117" t="s">
        <v>120</v>
      </c>
      <c r="E117" t="s">
        <v>379</v>
      </c>
      <c r="F117" s="20"/>
      <c r="H117" s="17" t="s">
        <v>1149</v>
      </c>
      <c r="I117" s="18"/>
      <c r="J117" t="s">
        <v>378</v>
      </c>
      <c r="K117" t="s">
        <v>94</v>
      </c>
    </row>
    <row r="118" spans="1:11" x14ac:dyDescent="0.2">
      <c r="A118" t="s">
        <v>380</v>
      </c>
      <c r="B118" s="21" t="s">
        <v>1013</v>
      </c>
      <c r="C118"/>
      <c r="D118" t="s">
        <v>111</v>
      </c>
      <c r="E118">
        <v>208</v>
      </c>
      <c r="F118" s="20"/>
      <c r="H118" s="17"/>
      <c r="I118" s="18"/>
      <c r="J118" t="s">
        <v>381</v>
      </c>
      <c r="K118">
        <v>7</v>
      </c>
    </row>
    <row r="119" spans="1:11" x14ac:dyDescent="0.2">
      <c r="A119" t="s">
        <v>382</v>
      </c>
      <c r="B119" s="21" t="s">
        <v>383</v>
      </c>
      <c r="C119"/>
      <c r="D119" t="s">
        <v>111</v>
      </c>
      <c r="E119" t="s">
        <v>384</v>
      </c>
      <c r="F119" s="20" t="s">
        <v>2837</v>
      </c>
      <c r="G119" t="s">
        <v>1453</v>
      </c>
      <c r="H119" s="17" t="s">
        <v>2838</v>
      </c>
      <c r="I119" s="18">
        <v>34</v>
      </c>
      <c r="J119" t="s">
        <v>348</v>
      </c>
      <c r="K119" t="s">
        <v>78</v>
      </c>
    </row>
    <row r="120" spans="1:11" x14ac:dyDescent="0.2">
      <c r="A120" t="s">
        <v>385</v>
      </c>
      <c r="B120" s="21" t="s">
        <v>175</v>
      </c>
      <c r="C120"/>
      <c r="D120" t="s">
        <v>111</v>
      </c>
      <c r="E120" t="s">
        <v>1362</v>
      </c>
      <c r="F120" s="20"/>
      <c r="H120" s="17" t="s">
        <v>1150</v>
      </c>
      <c r="I120" s="18">
        <v>34</v>
      </c>
      <c r="J120" t="s">
        <v>308</v>
      </c>
      <c r="K120" t="s">
        <v>94</v>
      </c>
    </row>
    <row r="121" spans="1:11" x14ac:dyDescent="0.2">
      <c r="A121" t="s">
        <v>915</v>
      </c>
      <c r="B121" s="21" t="s">
        <v>909</v>
      </c>
      <c r="C121"/>
      <c r="D121" t="s">
        <v>210</v>
      </c>
      <c r="E121" t="s">
        <v>928</v>
      </c>
      <c r="F121" s="20"/>
      <c r="G121" s="21" t="s">
        <v>2045</v>
      </c>
      <c r="H121" s="90" t="s">
        <v>1151</v>
      </c>
      <c r="I121" s="18">
        <v>20</v>
      </c>
      <c r="J121" t="s">
        <v>231</v>
      </c>
      <c r="K121" t="s">
        <v>82</v>
      </c>
    </row>
    <row r="122" spans="1:11" x14ac:dyDescent="0.2">
      <c r="A122" t="s">
        <v>386</v>
      </c>
      <c r="B122" s="21" t="s">
        <v>387</v>
      </c>
      <c r="C122"/>
      <c r="D122" t="s">
        <v>389</v>
      </c>
      <c r="E122">
        <v>208</v>
      </c>
      <c r="F122" s="20"/>
      <c r="H122" s="17" t="s">
        <v>1152</v>
      </c>
      <c r="I122" s="18">
        <v>34</v>
      </c>
      <c r="J122" t="s">
        <v>388</v>
      </c>
      <c r="K122" t="s">
        <v>110</v>
      </c>
    </row>
    <row r="123" spans="1:11" x14ac:dyDescent="0.2">
      <c r="A123" t="s">
        <v>390</v>
      </c>
      <c r="B123" s="21" t="s">
        <v>1016</v>
      </c>
      <c r="C123"/>
      <c r="D123" t="s">
        <v>73</v>
      </c>
      <c r="E123" t="s">
        <v>95</v>
      </c>
      <c r="F123" s="20"/>
      <c r="H123" s="17" t="s">
        <v>1153</v>
      </c>
      <c r="I123" s="18">
        <v>38</v>
      </c>
      <c r="J123" t="s">
        <v>77</v>
      </c>
      <c r="K123" t="s">
        <v>94</v>
      </c>
    </row>
    <row r="124" spans="1:11" x14ac:dyDescent="0.2">
      <c r="A124" t="s">
        <v>391</v>
      </c>
      <c r="B124" s="21" t="s">
        <v>1017</v>
      </c>
      <c r="C124"/>
      <c r="D124" t="s">
        <v>73</v>
      </c>
      <c r="E124" t="s">
        <v>95</v>
      </c>
      <c r="F124" s="20"/>
      <c r="H124" s="17" t="s">
        <v>1154</v>
      </c>
      <c r="I124" s="18">
        <v>38</v>
      </c>
      <c r="J124" t="s">
        <v>93</v>
      </c>
      <c r="K124" t="s">
        <v>94</v>
      </c>
    </row>
    <row r="125" spans="1:11" x14ac:dyDescent="0.2">
      <c r="A125" t="s">
        <v>980</v>
      </c>
      <c r="B125" s="21" t="s">
        <v>392</v>
      </c>
      <c r="C125"/>
      <c r="D125" t="s">
        <v>128</v>
      </c>
      <c r="E125" t="s">
        <v>342</v>
      </c>
      <c r="F125" s="20"/>
      <c r="H125" s="17"/>
      <c r="I125" s="18"/>
      <c r="J125" t="s">
        <v>341</v>
      </c>
      <c r="K125" t="s">
        <v>78</v>
      </c>
    </row>
    <row r="126" spans="1:11" x14ac:dyDescent="0.2">
      <c r="A126" t="s">
        <v>393</v>
      </c>
      <c r="B126" s="21" t="s">
        <v>1018</v>
      </c>
      <c r="C126"/>
      <c r="D126" t="s">
        <v>128</v>
      </c>
      <c r="E126" t="s">
        <v>395</v>
      </c>
      <c r="F126" s="20"/>
      <c r="H126" s="17" t="s">
        <v>1155</v>
      </c>
      <c r="I126" s="18">
        <v>50</v>
      </c>
      <c r="J126" t="s">
        <v>394</v>
      </c>
      <c r="K126" t="s">
        <v>238</v>
      </c>
    </row>
    <row r="127" spans="1:11" x14ac:dyDescent="0.2">
      <c r="A127" t="s">
        <v>797</v>
      </c>
      <c r="B127" s="21" t="s">
        <v>392</v>
      </c>
      <c r="C127"/>
      <c r="D127" t="s">
        <v>128</v>
      </c>
      <c r="E127" t="s">
        <v>1363</v>
      </c>
      <c r="F127" s="20"/>
      <c r="H127" s="17" t="s">
        <v>1138</v>
      </c>
      <c r="I127" s="18">
        <v>20</v>
      </c>
      <c r="J127" t="s">
        <v>204</v>
      </c>
      <c r="K127" t="s">
        <v>78</v>
      </c>
    </row>
    <row r="128" spans="1:11" x14ac:dyDescent="0.2">
      <c r="A128" t="s">
        <v>396</v>
      </c>
      <c r="B128" s="21" t="s">
        <v>392</v>
      </c>
      <c r="C128"/>
      <c r="D128" t="s">
        <v>128</v>
      </c>
      <c r="E128" t="s">
        <v>397</v>
      </c>
      <c r="F128" s="20"/>
      <c r="H128" s="17" t="s">
        <v>1156</v>
      </c>
      <c r="I128" s="18">
        <v>20</v>
      </c>
      <c r="J128" t="s">
        <v>879</v>
      </c>
      <c r="K128" t="s">
        <v>318</v>
      </c>
    </row>
    <row r="129" spans="1:11" x14ac:dyDescent="0.2">
      <c r="A129" t="s">
        <v>918</v>
      </c>
      <c r="B129" s="21" t="s">
        <v>956</v>
      </c>
      <c r="C129"/>
      <c r="D129" t="s">
        <v>131</v>
      </c>
      <c r="E129" t="s">
        <v>931</v>
      </c>
      <c r="F129" s="20"/>
      <c r="H129" s="17" t="s">
        <v>1095</v>
      </c>
      <c r="I129" s="18">
        <v>40</v>
      </c>
      <c r="J129" t="s">
        <v>936</v>
      </c>
      <c r="K129" t="s">
        <v>164</v>
      </c>
    </row>
    <row r="130" spans="1:11" x14ac:dyDescent="0.2">
      <c r="A130" t="s">
        <v>398</v>
      </c>
      <c r="B130" s="21" t="s">
        <v>76</v>
      </c>
      <c r="C130"/>
      <c r="D130" t="s">
        <v>399</v>
      </c>
      <c r="E130" t="s">
        <v>400</v>
      </c>
      <c r="F130" s="20"/>
      <c r="H130" s="17" t="s">
        <v>1157</v>
      </c>
      <c r="I130" s="18">
        <v>25</v>
      </c>
      <c r="J130"/>
    </row>
    <row r="131" spans="1:11" x14ac:dyDescent="0.2">
      <c r="A131" t="s">
        <v>401</v>
      </c>
      <c r="B131" s="21" t="s">
        <v>402</v>
      </c>
      <c r="C131"/>
      <c r="D131" t="s">
        <v>139</v>
      </c>
      <c r="E131" t="s">
        <v>403</v>
      </c>
      <c r="F131" s="20"/>
      <c r="H131" s="17" t="s">
        <v>1158</v>
      </c>
      <c r="I131" s="18">
        <v>23</v>
      </c>
      <c r="J131" t="s">
        <v>404</v>
      </c>
      <c r="K131" t="s">
        <v>404</v>
      </c>
    </row>
    <row r="132" spans="1:11" x14ac:dyDescent="0.2">
      <c r="A132" t="s">
        <v>405</v>
      </c>
      <c r="B132" s="21" t="s">
        <v>392</v>
      </c>
      <c r="C132"/>
      <c r="D132" t="s">
        <v>111</v>
      </c>
      <c r="E132" t="s">
        <v>406</v>
      </c>
      <c r="F132" s="20"/>
      <c r="H132" s="17" t="s">
        <v>195</v>
      </c>
      <c r="I132" s="18"/>
      <c r="J132"/>
    </row>
    <row r="133" spans="1:11" x14ac:dyDescent="0.2">
      <c r="A133" t="s">
        <v>407</v>
      </c>
      <c r="B133" s="21" t="s">
        <v>76</v>
      </c>
      <c r="C133"/>
      <c r="D133" t="s">
        <v>408</v>
      </c>
      <c r="E133" t="s">
        <v>409</v>
      </c>
      <c r="F133" s="20"/>
      <c r="H133" s="17" t="s">
        <v>1159</v>
      </c>
      <c r="I133" s="18">
        <v>40</v>
      </c>
      <c r="J133" t="s">
        <v>134</v>
      </c>
      <c r="K133" t="s">
        <v>198</v>
      </c>
    </row>
    <row r="134" spans="1:11" x14ac:dyDescent="0.2">
      <c r="A134" t="s">
        <v>410</v>
      </c>
      <c r="B134" s="21" t="s">
        <v>95</v>
      </c>
      <c r="C134"/>
      <c r="D134" t="s">
        <v>73</v>
      </c>
      <c r="E134" t="s">
        <v>412</v>
      </c>
      <c r="F134" s="20"/>
      <c r="H134" s="17" t="s">
        <v>1160</v>
      </c>
      <c r="I134" s="18">
        <v>38</v>
      </c>
      <c r="J134" t="s">
        <v>411</v>
      </c>
      <c r="K134" t="s">
        <v>94</v>
      </c>
    </row>
    <row r="135" spans="1:11" x14ac:dyDescent="0.2">
      <c r="A135" t="s">
        <v>981</v>
      </c>
      <c r="B135" s="21" t="s">
        <v>175</v>
      </c>
      <c r="C135"/>
      <c r="D135" t="s">
        <v>73</v>
      </c>
      <c r="E135" t="s">
        <v>202</v>
      </c>
      <c r="F135" s="20"/>
      <c r="H135" s="17" t="s">
        <v>1161</v>
      </c>
      <c r="I135" s="18">
        <v>37</v>
      </c>
      <c r="J135" t="s">
        <v>413</v>
      </c>
      <c r="K135" t="s">
        <v>82</v>
      </c>
    </row>
    <row r="136" spans="1:11" x14ac:dyDescent="0.2">
      <c r="A136" t="s">
        <v>414</v>
      </c>
      <c r="B136" s="21" t="s">
        <v>907</v>
      </c>
      <c r="C136"/>
      <c r="D136" t="s">
        <v>135</v>
      </c>
      <c r="E136" t="s">
        <v>219</v>
      </c>
      <c r="F136" s="20"/>
      <c r="H136" s="17" t="s">
        <v>1162</v>
      </c>
      <c r="I136" s="18">
        <v>25</v>
      </c>
      <c r="J136" t="s">
        <v>415</v>
      </c>
      <c r="K136" t="s">
        <v>1335</v>
      </c>
    </row>
    <row r="137" spans="1:11" x14ac:dyDescent="0.2">
      <c r="A137" t="s">
        <v>416</v>
      </c>
      <c r="B137" s="21" t="s">
        <v>417</v>
      </c>
      <c r="C137"/>
      <c r="D137" t="s">
        <v>111</v>
      </c>
      <c r="E137" t="s">
        <v>418</v>
      </c>
      <c r="F137" s="20"/>
      <c r="H137" s="17" t="s">
        <v>1163</v>
      </c>
      <c r="I137" s="18">
        <v>25</v>
      </c>
      <c r="J137" t="s">
        <v>160</v>
      </c>
      <c r="K137" t="s">
        <v>94</v>
      </c>
    </row>
    <row r="138" spans="1:11" x14ac:dyDescent="0.2">
      <c r="A138" t="s">
        <v>419</v>
      </c>
      <c r="B138" s="21" t="s">
        <v>1019</v>
      </c>
      <c r="C138"/>
      <c r="D138" t="s">
        <v>111</v>
      </c>
      <c r="E138">
        <v>3008</v>
      </c>
      <c r="F138" s="20"/>
      <c r="H138" s="17" t="s">
        <v>1164</v>
      </c>
      <c r="I138" s="18">
        <v>34</v>
      </c>
      <c r="J138" t="s">
        <v>114</v>
      </c>
      <c r="K138" t="s">
        <v>238</v>
      </c>
    </row>
    <row r="139" spans="1:11" x14ac:dyDescent="0.2">
      <c r="A139" t="s">
        <v>420</v>
      </c>
      <c r="B139" s="21" t="s">
        <v>175</v>
      </c>
      <c r="C139"/>
      <c r="D139" t="s">
        <v>139</v>
      </c>
      <c r="E139" t="s">
        <v>1364</v>
      </c>
      <c r="F139" s="20"/>
      <c r="H139" s="17" t="s">
        <v>1165</v>
      </c>
      <c r="I139" s="18"/>
      <c r="J139" t="s">
        <v>421</v>
      </c>
      <c r="K139" t="s">
        <v>94</v>
      </c>
    </row>
    <row r="140" spans="1:11" x14ac:dyDescent="0.2">
      <c r="A140" t="s">
        <v>422</v>
      </c>
      <c r="B140" s="21" t="s">
        <v>949</v>
      </c>
      <c r="C140"/>
      <c r="D140" t="s">
        <v>73</v>
      </c>
      <c r="E140" t="s">
        <v>95</v>
      </c>
      <c r="F140" s="20"/>
      <c r="H140" s="17" t="s">
        <v>1153</v>
      </c>
      <c r="I140" s="18">
        <v>38</v>
      </c>
      <c r="J140" t="s">
        <v>77</v>
      </c>
      <c r="K140" t="s">
        <v>94</v>
      </c>
    </row>
    <row r="141" spans="1:11" x14ac:dyDescent="0.2">
      <c r="A141" t="s">
        <v>423</v>
      </c>
      <c r="B141" s="21" t="s">
        <v>1020</v>
      </c>
      <c r="C141"/>
      <c r="D141" t="s">
        <v>128</v>
      </c>
      <c r="E141" t="s">
        <v>342</v>
      </c>
      <c r="F141" s="20"/>
      <c r="H141" s="17" t="s">
        <v>1166</v>
      </c>
      <c r="I141" s="18" t="s">
        <v>1445</v>
      </c>
      <c r="J141" t="s">
        <v>879</v>
      </c>
      <c r="K141" t="s">
        <v>78</v>
      </c>
    </row>
    <row r="142" spans="1:11" x14ac:dyDescent="0.2">
      <c r="A142" t="s">
        <v>919</v>
      </c>
      <c r="B142" s="21" t="s">
        <v>175</v>
      </c>
      <c r="C142"/>
      <c r="D142" t="s">
        <v>128</v>
      </c>
      <c r="E142" t="s">
        <v>932</v>
      </c>
      <c r="F142" s="20"/>
      <c r="H142" s="17" t="s">
        <v>1167</v>
      </c>
      <c r="I142" s="18">
        <v>20</v>
      </c>
      <c r="J142" t="s">
        <v>176</v>
      </c>
      <c r="K142" t="s">
        <v>78</v>
      </c>
    </row>
    <row r="143" spans="1:11" x14ac:dyDescent="0.2">
      <c r="A143" t="s">
        <v>787</v>
      </c>
      <c r="B143" s="21" t="s">
        <v>425</v>
      </c>
      <c r="C143"/>
      <c r="D143" t="s">
        <v>111</v>
      </c>
      <c r="E143" s="21" t="s">
        <v>1823</v>
      </c>
      <c r="F143" s="20">
        <v>42151</v>
      </c>
      <c r="G143" t="s">
        <v>1453</v>
      </c>
      <c r="H143" s="90" t="s">
        <v>2443</v>
      </c>
      <c r="I143" s="18">
        <v>34</v>
      </c>
      <c r="J143" t="s">
        <v>114</v>
      </c>
      <c r="K143" t="s">
        <v>238</v>
      </c>
    </row>
    <row r="144" spans="1:11" x14ac:dyDescent="0.2">
      <c r="A144" t="s">
        <v>424</v>
      </c>
      <c r="B144" s="21" t="s">
        <v>425</v>
      </c>
      <c r="C144"/>
      <c r="D144" t="s">
        <v>111</v>
      </c>
      <c r="E144" t="s">
        <v>384</v>
      </c>
      <c r="F144" s="20"/>
      <c r="G144" t="s">
        <v>1453</v>
      </c>
      <c r="H144" s="17" t="s">
        <v>2005</v>
      </c>
      <c r="I144" s="18">
        <v>34</v>
      </c>
      <c r="J144" t="s">
        <v>114</v>
      </c>
      <c r="K144" t="s">
        <v>238</v>
      </c>
    </row>
    <row r="145" spans="1:11" x14ac:dyDescent="0.2">
      <c r="A145" t="s">
        <v>426</v>
      </c>
      <c r="B145" s="21" t="s">
        <v>950</v>
      </c>
      <c r="C145"/>
      <c r="D145" t="s">
        <v>389</v>
      </c>
      <c r="E145">
        <v>308</v>
      </c>
      <c r="F145" s="20"/>
      <c r="H145" s="17" t="s">
        <v>1168</v>
      </c>
      <c r="I145" s="18">
        <v>30</v>
      </c>
      <c r="J145" t="s">
        <v>1324</v>
      </c>
      <c r="K145" t="s">
        <v>1336</v>
      </c>
    </row>
    <row r="146" spans="1:11" x14ac:dyDescent="0.2">
      <c r="A146" t="s">
        <v>790</v>
      </c>
      <c r="B146" s="21" t="s">
        <v>1021</v>
      </c>
      <c r="C146"/>
      <c r="D146" t="s">
        <v>120</v>
      </c>
      <c r="E146" t="s">
        <v>1366</v>
      </c>
      <c r="F146" s="20"/>
      <c r="H146" s="17" t="s">
        <v>1169</v>
      </c>
      <c r="I146" s="18">
        <v>30</v>
      </c>
      <c r="J146" t="s">
        <v>791</v>
      </c>
      <c r="K146" t="s">
        <v>94</v>
      </c>
    </row>
    <row r="147" spans="1:11" x14ac:dyDescent="0.2">
      <c r="A147" t="s">
        <v>838</v>
      </c>
      <c r="B147" s="21" t="s">
        <v>1022</v>
      </c>
      <c r="C147"/>
      <c r="D147" t="s">
        <v>73</v>
      </c>
      <c r="E147" t="s">
        <v>1367</v>
      </c>
      <c r="F147" s="20"/>
      <c r="H147" s="17" t="s">
        <v>1170</v>
      </c>
      <c r="I147" s="18">
        <v>38</v>
      </c>
      <c r="J147" t="s">
        <v>77</v>
      </c>
      <c r="K147" t="s">
        <v>94</v>
      </c>
    </row>
    <row r="148" spans="1:11" x14ac:dyDescent="0.2">
      <c r="A148" t="s">
        <v>832</v>
      </c>
      <c r="B148" s="21" t="s">
        <v>1023</v>
      </c>
      <c r="C148"/>
      <c r="D148" t="s">
        <v>111</v>
      </c>
      <c r="E148" t="s">
        <v>1368</v>
      </c>
      <c r="F148" s="20"/>
      <c r="H148" s="17" t="s">
        <v>1096</v>
      </c>
      <c r="I148" s="18">
        <v>34</v>
      </c>
      <c r="J148" t="s">
        <v>833</v>
      </c>
      <c r="K148" t="s">
        <v>834</v>
      </c>
    </row>
    <row r="149" spans="1:11" x14ac:dyDescent="0.2">
      <c r="A149" t="s">
        <v>427</v>
      </c>
      <c r="B149" s="21" t="s">
        <v>1024</v>
      </c>
      <c r="C149"/>
      <c r="D149" t="s">
        <v>111</v>
      </c>
      <c r="E149">
        <v>208</v>
      </c>
      <c r="F149" s="20"/>
      <c r="H149" s="17" t="s">
        <v>1132</v>
      </c>
      <c r="I149" s="18">
        <v>34</v>
      </c>
      <c r="J149" t="s">
        <v>428</v>
      </c>
      <c r="K149" t="s">
        <v>94</v>
      </c>
    </row>
    <row r="150" spans="1:11" x14ac:dyDescent="0.2">
      <c r="A150" t="s">
        <v>429</v>
      </c>
      <c r="B150" s="21" t="s">
        <v>430</v>
      </c>
      <c r="C150"/>
      <c r="D150" t="s">
        <v>105</v>
      </c>
      <c r="E150" t="s">
        <v>147</v>
      </c>
      <c r="F150" s="20"/>
      <c r="H150" s="17" t="s">
        <v>1171</v>
      </c>
      <c r="I150" s="18">
        <v>30</v>
      </c>
      <c r="J150">
        <v>22</v>
      </c>
      <c r="K150">
        <v>7</v>
      </c>
    </row>
    <row r="151" spans="1:11" x14ac:dyDescent="0.2">
      <c r="A151" t="s">
        <v>802</v>
      </c>
      <c r="B151" s="21" t="s">
        <v>1025</v>
      </c>
      <c r="C151"/>
      <c r="D151" t="s">
        <v>111</v>
      </c>
      <c r="E151" t="s">
        <v>1369</v>
      </c>
      <c r="F151" s="20"/>
      <c r="H151" s="17" t="s">
        <v>1096</v>
      </c>
      <c r="I151" s="18">
        <v>34</v>
      </c>
      <c r="J151" t="s">
        <v>428</v>
      </c>
      <c r="K151" t="s">
        <v>94</v>
      </c>
    </row>
    <row r="152" spans="1:11" x14ac:dyDescent="0.2">
      <c r="A152" t="s">
        <v>431</v>
      </c>
      <c r="B152" s="21" t="s">
        <v>1026</v>
      </c>
      <c r="C152"/>
      <c r="D152" t="s">
        <v>139</v>
      </c>
      <c r="E152" t="s">
        <v>432</v>
      </c>
      <c r="F152" s="20"/>
      <c r="H152" s="17" t="s">
        <v>1172</v>
      </c>
      <c r="I152" s="18">
        <v>34</v>
      </c>
      <c r="J152">
        <v>26</v>
      </c>
      <c r="K152">
        <v>12</v>
      </c>
    </row>
    <row r="153" spans="1:11" x14ac:dyDescent="0.2">
      <c r="A153" t="s">
        <v>433</v>
      </c>
      <c r="B153" s="21" t="s">
        <v>342</v>
      </c>
      <c r="C153"/>
      <c r="D153" t="s">
        <v>128</v>
      </c>
      <c r="E153" t="s">
        <v>342</v>
      </c>
      <c r="F153" s="20"/>
      <c r="H153" s="17" t="s">
        <v>1173</v>
      </c>
      <c r="I153" s="18">
        <v>50</v>
      </c>
      <c r="J153" t="s">
        <v>341</v>
      </c>
      <c r="K153" t="s">
        <v>296</v>
      </c>
    </row>
    <row r="154" spans="1:11" x14ac:dyDescent="0.2">
      <c r="A154" t="s">
        <v>434</v>
      </c>
      <c r="B154" s="21" t="s">
        <v>435</v>
      </c>
      <c r="C154"/>
      <c r="D154" t="s">
        <v>437</v>
      </c>
      <c r="E154" t="s">
        <v>438</v>
      </c>
      <c r="F154" s="20" t="s">
        <v>2827</v>
      </c>
      <c r="G154" t="s">
        <v>1482</v>
      </c>
      <c r="H154" s="17" t="s">
        <v>2828</v>
      </c>
      <c r="I154" s="18" t="s">
        <v>1081</v>
      </c>
      <c r="J154" t="s">
        <v>436</v>
      </c>
      <c r="K154" t="s">
        <v>1337</v>
      </c>
    </row>
    <row r="155" spans="1:11" x14ac:dyDescent="0.2">
      <c r="A155" t="s">
        <v>439</v>
      </c>
      <c r="B155" s="21" t="s">
        <v>402</v>
      </c>
      <c r="C155"/>
      <c r="D155" t="s">
        <v>111</v>
      </c>
      <c r="E155">
        <v>208</v>
      </c>
      <c r="F155" s="20"/>
      <c r="H155" s="17" t="s">
        <v>1174</v>
      </c>
      <c r="I155" s="18">
        <v>23</v>
      </c>
      <c r="J155" t="s">
        <v>440</v>
      </c>
      <c r="K155" t="s">
        <v>441</v>
      </c>
    </row>
    <row r="156" spans="1:11" x14ac:dyDescent="0.2">
      <c r="A156" t="s">
        <v>442</v>
      </c>
      <c r="B156" s="21" t="s">
        <v>1027</v>
      </c>
      <c r="C156"/>
      <c r="D156" t="s">
        <v>139</v>
      </c>
      <c r="E156" t="s">
        <v>1370</v>
      </c>
      <c r="F156" s="20"/>
      <c r="H156" s="17" t="s">
        <v>1175</v>
      </c>
      <c r="I156" s="18">
        <v>34</v>
      </c>
      <c r="J156" t="s">
        <v>114</v>
      </c>
      <c r="K156" t="s">
        <v>238</v>
      </c>
    </row>
    <row r="157" spans="1:11" x14ac:dyDescent="0.2">
      <c r="A157" t="s">
        <v>443</v>
      </c>
      <c r="B157" s="21" t="s">
        <v>1028</v>
      </c>
      <c r="C157"/>
      <c r="D157" t="s">
        <v>445</v>
      </c>
      <c r="E157" t="s">
        <v>446</v>
      </c>
      <c r="F157" s="20"/>
      <c r="H157" s="17" t="s">
        <v>1176</v>
      </c>
      <c r="I157" s="18">
        <v>34</v>
      </c>
      <c r="J157" t="s">
        <v>411</v>
      </c>
      <c r="K157" t="s">
        <v>444</v>
      </c>
    </row>
    <row r="158" spans="1:11" x14ac:dyDescent="0.2">
      <c r="A158" t="s">
        <v>982</v>
      </c>
      <c r="B158" s="21" t="s">
        <v>270</v>
      </c>
      <c r="C158"/>
      <c r="D158" t="s">
        <v>139</v>
      </c>
      <c r="E158" t="s">
        <v>432</v>
      </c>
      <c r="F158" s="20">
        <v>42044</v>
      </c>
      <c r="G158" t="s">
        <v>1704</v>
      </c>
      <c r="H158" s="17" t="s">
        <v>2356</v>
      </c>
      <c r="I158" s="18">
        <v>34</v>
      </c>
      <c r="J158" t="s">
        <v>256</v>
      </c>
      <c r="K158" t="s">
        <v>447</v>
      </c>
    </row>
    <row r="159" spans="1:11" x14ac:dyDescent="0.2">
      <c r="A159" t="s">
        <v>448</v>
      </c>
      <c r="B159" s="21" t="s">
        <v>1029</v>
      </c>
      <c r="C159"/>
      <c r="D159" t="s">
        <v>1341</v>
      </c>
      <c r="E159" t="s">
        <v>1371</v>
      </c>
      <c r="F159" s="20"/>
      <c r="H159" s="17" t="s">
        <v>1177</v>
      </c>
      <c r="I159" s="18"/>
      <c r="J159" t="s">
        <v>449</v>
      </c>
      <c r="K159" t="s">
        <v>450</v>
      </c>
    </row>
    <row r="160" spans="1:11" x14ac:dyDescent="0.2">
      <c r="A160" t="s">
        <v>451</v>
      </c>
      <c r="B160" s="21" t="s">
        <v>76</v>
      </c>
      <c r="C160"/>
      <c r="D160" t="s">
        <v>128</v>
      </c>
      <c r="E160" t="s">
        <v>336</v>
      </c>
      <c r="F160" s="20"/>
      <c r="H160" s="17"/>
      <c r="I160" s="18"/>
      <c r="J160" t="s">
        <v>295</v>
      </c>
      <c r="K160" t="s">
        <v>78</v>
      </c>
    </row>
    <row r="161" spans="1:11" x14ac:dyDescent="0.2">
      <c r="A161" t="s">
        <v>983</v>
      </c>
      <c r="B161" s="21" t="s">
        <v>1030</v>
      </c>
      <c r="C161"/>
      <c r="D161" t="s">
        <v>111</v>
      </c>
      <c r="E161">
        <v>308</v>
      </c>
      <c r="F161" s="20"/>
      <c r="H161" s="17" t="s">
        <v>1178</v>
      </c>
      <c r="I161" s="18">
        <v>34</v>
      </c>
      <c r="J161" t="s">
        <v>1325</v>
      </c>
      <c r="K161" t="s">
        <v>1338</v>
      </c>
    </row>
    <row r="162" spans="1:11" x14ac:dyDescent="0.2">
      <c r="A162" t="s">
        <v>807</v>
      </c>
      <c r="B162" s="21" t="s">
        <v>175</v>
      </c>
      <c r="C162"/>
      <c r="D162" t="s">
        <v>120</v>
      </c>
      <c r="E162" t="s">
        <v>1372</v>
      </c>
      <c r="F162" s="20"/>
      <c r="H162" s="17" t="s">
        <v>1179</v>
      </c>
      <c r="I162" s="18">
        <v>30</v>
      </c>
      <c r="J162" t="s">
        <v>146</v>
      </c>
      <c r="K162" t="s">
        <v>94</v>
      </c>
    </row>
    <row r="163" spans="1:11" x14ac:dyDescent="0.2">
      <c r="A163" t="s">
        <v>452</v>
      </c>
      <c r="B163" s="21" t="s">
        <v>194</v>
      </c>
      <c r="C163"/>
      <c r="D163" t="s">
        <v>128</v>
      </c>
      <c r="E163" t="s">
        <v>453</v>
      </c>
      <c r="F163" s="20" t="s">
        <v>2488</v>
      </c>
      <c r="G163" t="s">
        <v>1459</v>
      </c>
      <c r="H163" s="17" t="s">
        <v>1561</v>
      </c>
      <c r="I163" s="18" t="s">
        <v>1173</v>
      </c>
      <c r="J163" t="s">
        <v>114</v>
      </c>
      <c r="K163" t="s">
        <v>2489</v>
      </c>
    </row>
    <row r="164" spans="1:11" x14ac:dyDescent="0.2">
      <c r="A164" t="s">
        <v>454</v>
      </c>
      <c r="B164" s="21" t="s">
        <v>1031</v>
      </c>
      <c r="C164"/>
      <c r="D164" t="s">
        <v>120</v>
      </c>
      <c r="E164" t="s">
        <v>457</v>
      </c>
      <c r="F164" s="20"/>
      <c r="H164" s="17" t="s">
        <v>1180</v>
      </c>
      <c r="I164" s="18">
        <v>30</v>
      </c>
      <c r="J164" t="s">
        <v>455</v>
      </c>
      <c r="K164" t="s">
        <v>456</v>
      </c>
    </row>
    <row r="165" spans="1:11" x14ac:dyDescent="0.2">
      <c r="A165" t="s">
        <v>824</v>
      </c>
      <c r="B165" s="21" t="s">
        <v>1032</v>
      </c>
      <c r="C165"/>
      <c r="D165" t="s">
        <v>83</v>
      </c>
      <c r="E165" t="s">
        <v>1373</v>
      </c>
      <c r="F165" s="20"/>
      <c r="H165" s="17" t="s">
        <v>1181</v>
      </c>
      <c r="I165" s="18">
        <v>39</v>
      </c>
      <c r="J165" t="s">
        <v>77</v>
      </c>
      <c r="K165" t="s">
        <v>825</v>
      </c>
    </row>
    <row r="166" spans="1:11" x14ac:dyDescent="0.2">
      <c r="A166" t="s">
        <v>458</v>
      </c>
      <c r="B166" s="21" t="s">
        <v>1033</v>
      </c>
      <c r="C166"/>
      <c r="D166" t="s">
        <v>111</v>
      </c>
      <c r="E166">
        <v>208</v>
      </c>
      <c r="F166" s="20"/>
      <c r="H166" s="17" t="s">
        <v>1116</v>
      </c>
      <c r="I166" s="18">
        <v>42</v>
      </c>
      <c r="J166" t="s">
        <v>285</v>
      </c>
      <c r="K166" t="s">
        <v>459</v>
      </c>
    </row>
    <row r="167" spans="1:11" x14ac:dyDescent="0.2">
      <c r="A167" t="s">
        <v>460</v>
      </c>
      <c r="B167" s="21" t="s">
        <v>336</v>
      </c>
      <c r="C167"/>
      <c r="D167" t="s">
        <v>128</v>
      </c>
      <c r="E167" t="s">
        <v>336</v>
      </c>
      <c r="F167" s="20"/>
      <c r="H167" s="17" t="s">
        <v>1182</v>
      </c>
      <c r="I167" s="18">
        <v>20</v>
      </c>
      <c r="J167" t="s">
        <v>295</v>
      </c>
      <c r="K167" t="s">
        <v>296</v>
      </c>
    </row>
    <row r="168" spans="1:11" x14ac:dyDescent="0.2">
      <c r="A168" t="s">
        <v>461</v>
      </c>
      <c r="B168" s="21" t="s">
        <v>392</v>
      </c>
      <c r="C168"/>
      <c r="D168" t="s">
        <v>111</v>
      </c>
      <c r="E168" t="s">
        <v>1374</v>
      </c>
      <c r="F168" s="20"/>
      <c r="H168" s="17" t="s">
        <v>1122</v>
      </c>
      <c r="I168" s="18">
        <v>34</v>
      </c>
      <c r="J168" t="s">
        <v>404</v>
      </c>
      <c r="K168" t="s">
        <v>94</v>
      </c>
    </row>
    <row r="169" spans="1:11" x14ac:dyDescent="0.2">
      <c r="A169" t="s">
        <v>462</v>
      </c>
      <c r="B169" s="21" t="s">
        <v>172</v>
      </c>
      <c r="C169"/>
      <c r="F169" s="20"/>
      <c r="H169" s="17"/>
      <c r="I169" s="18"/>
      <c r="J169"/>
    </row>
    <row r="170" spans="1:11" x14ac:dyDescent="0.2">
      <c r="A170" t="s">
        <v>463</v>
      </c>
      <c r="B170" s="21" t="s">
        <v>392</v>
      </c>
      <c r="C170"/>
      <c r="D170" t="s">
        <v>111</v>
      </c>
      <c r="E170">
        <v>208</v>
      </c>
      <c r="F170" s="20"/>
      <c r="H170" s="17"/>
      <c r="I170" s="18"/>
      <c r="J170" t="s">
        <v>1326</v>
      </c>
      <c r="K170">
        <v>7</v>
      </c>
    </row>
    <row r="171" spans="1:11" x14ac:dyDescent="0.2">
      <c r="A171" t="s">
        <v>464</v>
      </c>
      <c r="B171" s="21" t="s">
        <v>392</v>
      </c>
      <c r="C171"/>
      <c r="D171" t="s">
        <v>111</v>
      </c>
      <c r="E171">
        <v>308</v>
      </c>
      <c r="F171" s="20"/>
      <c r="H171" s="17" t="s">
        <v>1183</v>
      </c>
      <c r="I171" s="18">
        <v>34</v>
      </c>
      <c r="J171" t="s">
        <v>465</v>
      </c>
      <c r="K171" t="s">
        <v>465</v>
      </c>
    </row>
    <row r="172" spans="1:11" x14ac:dyDescent="0.2">
      <c r="A172" t="s">
        <v>466</v>
      </c>
      <c r="B172" s="21" t="s">
        <v>392</v>
      </c>
      <c r="C172"/>
      <c r="D172" t="s">
        <v>128</v>
      </c>
      <c r="E172" t="s">
        <v>342</v>
      </c>
      <c r="F172" s="20"/>
      <c r="H172" s="17" t="s">
        <v>1118</v>
      </c>
      <c r="I172" s="18">
        <v>20</v>
      </c>
      <c r="J172" t="s">
        <v>341</v>
      </c>
      <c r="K172" t="s">
        <v>78</v>
      </c>
    </row>
    <row r="173" spans="1:11" x14ac:dyDescent="0.2">
      <c r="A173" t="s">
        <v>467</v>
      </c>
      <c r="B173" s="21" t="s">
        <v>392</v>
      </c>
      <c r="C173"/>
      <c r="D173" t="s">
        <v>128</v>
      </c>
      <c r="E173" t="s">
        <v>342</v>
      </c>
      <c r="F173" s="20"/>
      <c r="H173" s="17" t="s">
        <v>1136</v>
      </c>
      <c r="I173" s="18">
        <v>20</v>
      </c>
      <c r="J173" t="s">
        <v>341</v>
      </c>
      <c r="K173" t="s">
        <v>78</v>
      </c>
    </row>
    <row r="174" spans="1:11" x14ac:dyDescent="0.2">
      <c r="A174" t="s">
        <v>468</v>
      </c>
      <c r="B174" s="21" t="s">
        <v>469</v>
      </c>
      <c r="C174"/>
      <c r="D174" t="s">
        <v>111</v>
      </c>
      <c r="E174">
        <v>2008</v>
      </c>
      <c r="F174" s="20"/>
      <c r="H174" s="17" t="s">
        <v>1184</v>
      </c>
      <c r="I174" s="18">
        <v>42</v>
      </c>
      <c r="J174" t="s">
        <v>160</v>
      </c>
      <c r="K174" t="s">
        <v>94</v>
      </c>
    </row>
    <row r="175" spans="1:11" x14ac:dyDescent="0.2">
      <c r="A175" t="s">
        <v>470</v>
      </c>
      <c r="B175" s="21" t="s">
        <v>471</v>
      </c>
      <c r="C175"/>
      <c r="D175" t="s">
        <v>139</v>
      </c>
      <c r="E175" t="s">
        <v>239</v>
      </c>
      <c r="F175" s="89">
        <v>42422</v>
      </c>
      <c r="G175" t="s">
        <v>1704</v>
      </c>
      <c r="H175" s="17" t="s">
        <v>2475</v>
      </c>
      <c r="I175" s="18">
        <v>34</v>
      </c>
      <c r="J175" t="s">
        <v>472</v>
      </c>
      <c r="K175" t="s">
        <v>473</v>
      </c>
    </row>
    <row r="176" spans="1:11" x14ac:dyDescent="0.2">
      <c r="A176" t="s">
        <v>793</v>
      </c>
      <c r="B176" s="21" t="s">
        <v>1013</v>
      </c>
      <c r="C176"/>
      <c r="D176" t="s">
        <v>128</v>
      </c>
      <c r="E176" t="s">
        <v>1375</v>
      </c>
      <c r="F176" s="20"/>
      <c r="H176" s="17" t="s">
        <v>1185</v>
      </c>
      <c r="I176" s="18"/>
      <c r="J176" t="s">
        <v>794</v>
      </c>
      <c r="K176" t="s">
        <v>78</v>
      </c>
    </row>
    <row r="177" spans="1:11" x14ac:dyDescent="0.2">
      <c r="A177" t="s">
        <v>474</v>
      </c>
      <c r="B177" s="21" t="s">
        <v>175</v>
      </c>
      <c r="C177"/>
      <c r="D177" t="s">
        <v>173</v>
      </c>
      <c r="E177" t="s">
        <v>174</v>
      </c>
      <c r="F177" s="20"/>
      <c r="H177" s="17" t="s">
        <v>1186</v>
      </c>
      <c r="I177" s="18"/>
      <c r="J177" t="s">
        <v>371</v>
      </c>
      <c r="K177" t="s">
        <v>78</v>
      </c>
    </row>
    <row r="178" spans="1:11" x14ac:dyDescent="0.2">
      <c r="A178" t="s">
        <v>475</v>
      </c>
      <c r="B178" s="21" t="s">
        <v>175</v>
      </c>
      <c r="C178"/>
      <c r="D178" t="s">
        <v>131</v>
      </c>
      <c r="E178" t="s">
        <v>1376</v>
      </c>
      <c r="F178" s="20"/>
      <c r="H178" s="17" t="s">
        <v>1187</v>
      </c>
      <c r="I178" s="18">
        <v>40</v>
      </c>
      <c r="J178" t="s">
        <v>476</v>
      </c>
      <c r="K178" t="s">
        <v>477</v>
      </c>
    </row>
    <row r="179" spans="1:11" x14ac:dyDescent="0.2">
      <c r="A179" t="s">
        <v>478</v>
      </c>
      <c r="B179" s="21" t="s">
        <v>425</v>
      </c>
      <c r="C179"/>
      <c r="D179" t="s">
        <v>213</v>
      </c>
      <c r="E179" t="s">
        <v>481</v>
      </c>
      <c r="F179" s="20" t="s">
        <v>2180</v>
      </c>
      <c r="G179" t="s">
        <v>2181</v>
      </c>
      <c r="H179" s="17" t="s">
        <v>2182</v>
      </c>
      <c r="I179" s="18" t="s">
        <v>1869</v>
      </c>
      <c r="J179" t="s">
        <v>479</v>
      </c>
      <c r="K179" t="s">
        <v>480</v>
      </c>
    </row>
    <row r="180" spans="1:11" x14ac:dyDescent="0.2">
      <c r="A180" t="s">
        <v>482</v>
      </c>
      <c r="B180" s="21" t="s">
        <v>483</v>
      </c>
      <c r="C180"/>
      <c r="D180" t="s">
        <v>139</v>
      </c>
      <c r="E180" t="s">
        <v>1377</v>
      </c>
      <c r="F180" s="20"/>
      <c r="H180" s="17" t="s">
        <v>1188</v>
      </c>
      <c r="I180" s="18">
        <v>34</v>
      </c>
      <c r="J180" t="s">
        <v>114</v>
      </c>
      <c r="K180" t="s">
        <v>238</v>
      </c>
    </row>
    <row r="181" spans="1:11" x14ac:dyDescent="0.2">
      <c r="A181" t="s">
        <v>484</v>
      </c>
      <c r="B181" s="21" t="s">
        <v>485</v>
      </c>
      <c r="C181"/>
      <c r="D181" t="s">
        <v>111</v>
      </c>
      <c r="E181">
        <v>208</v>
      </c>
      <c r="F181" s="20"/>
      <c r="H181" s="17" t="s">
        <v>1189</v>
      </c>
      <c r="I181" s="18">
        <v>42</v>
      </c>
      <c r="J181" t="s">
        <v>486</v>
      </c>
      <c r="K181">
        <v>7</v>
      </c>
    </row>
    <row r="182" spans="1:11" x14ac:dyDescent="0.2">
      <c r="A182" t="s">
        <v>487</v>
      </c>
      <c r="B182" s="21" t="s">
        <v>425</v>
      </c>
      <c r="C182"/>
      <c r="D182" t="s">
        <v>111</v>
      </c>
      <c r="E182" t="s">
        <v>384</v>
      </c>
      <c r="F182" s="20"/>
      <c r="G182" t="s">
        <v>1704</v>
      </c>
      <c r="H182" s="17" t="s">
        <v>1176</v>
      </c>
      <c r="I182" s="18">
        <v>34</v>
      </c>
      <c r="J182" t="s">
        <v>472</v>
      </c>
      <c r="K182" t="s">
        <v>473</v>
      </c>
    </row>
    <row r="183" spans="1:11" x14ac:dyDescent="0.2">
      <c r="A183" t="s">
        <v>488</v>
      </c>
      <c r="B183" s="21" t="s">
        <v>882</v>
      </c>
      <c r="C183"/>
      <c r="D183" t="s">
        <v>73</v>
      </c>
      <c r="E183" t="s">
        <v>490</v>
      </c>
      <c r="F183" s="20"/>
      <c r="H183" s="17" t="s">
        <v>1190</v>
      </c>
      <c r="I183" s="18">
        <v>40</v>
      </c>
      <c r="J183" t="s">
        <v>98</v>
      </c>
      <c r="K183" t="s">
        <v>489</v>
      </c>
    </row>
    <row r="184" spans="1:11" x14ac:dyDescent="0.2">
      <c r="A184" t="s">
        <v>491</v>
      </c>
      <c r="B184" s="21" t="s">
        <v>492</v>
      </c>
      <c r="C184"/>
      <c r="D184" t="s">
        <v>493</v>
      </c>
      <c r="E184" t="s">
        <v>493</v>
      </c>
      <c r="F184" s="20"/>
      <c r="H184" s="17" t="s">
        <v>1191</v>
      </c>
      <c r="I184" s="18">
        <v>34</v>
      </c>
      <c r="J184">
        <v>28</v>
      </c>
      <c r="K184">
        <v>10</v>
      </c>
    </row>
    <row r="185" spans="1:11" x14ac:dyDescent="0.2">
      <c r="A185" t="s">
        <v>494</v>
      </c>
      <c r="B185" s="21" t="s">
        <v>495</v>
      </c>
      <c r="C185"/>
      <c r="D185" t="s">
        <v>128</v>
      </c>
      <c r="E185" t="s">
        <v>497</v>
      </c>
      <c r="F185" s="20"/>
      <c r="H185" s="17" t="s">
        <v>1192</v>
      </c>
      <c r="I185" s="18"/>
      <c r="J185" t="s">
        <v>496</v>
      </c>
      <c r="K185" t="s">
        <v>78</v>
      </c>
    </row>
    <row r="186" spans="1:11" x14ac:dyDescent="0.2">
      <c r="A186" t="s">
        <v>984</v>
      </c>
      <c r="B186" s="21" t="s">
        <v>172</v>
      </c>
      <c r="C186"/>
      <c r="D186" t="s">
        <v>232</v>
      </c>
      <c r="E186" t="s">
        <v>498</v>
      </c>
      <c r="F186" s="20"/>
      <c r="H186" s="17"/>
      <c r="I186" s="18"/>
      <c r="J186" t="s">
        <v>231</v>
      </c>
      <c r="K186" t="s">
        <v>82</v>
      </c>
    </row>
    <row r="187" spans="1:11" x14ac:dyDescent="0.2">
      <c r="A187" t="s">
        <v>499</v>
      </c>
      <c r="B187" s="21" t="s">
        <v>172</v>
      </c>
      <c r="C187"/>
      <c r="D187" t="s">
        <v>120</v>
      </c>
      <c r="E187" t="s">
        <v>500</v>
      </c>
      <c r="F187" s="20"/>
      <c r="H187" s="17" t="s">
        <v>1193</v>
      </c>
      <c r="I187" s="18">
        <v>30</v>
      </c>
      <c r="J187" t="s">
        <v>146</v>
      </c>
      <c r="K187" t="s">
        <v>218</v>
      </c>
    </row>
    <row r="188" spans="1:11" x14ac:dyDescent="0.2">
      <c r="A188" t="s">
        <v>501</v>
      </c>
      <c r="B188" s="21" t="s">
        <v>502</v>
      </c>
      <c r="C188"/>
      <c r="D188" t="s">
        <v>173</v>
      </c>
      <c r="E188" t="s">
        <v>504</v>
      </c>
      <c r="F188" s="20" t="s">
        <v>2578</v>
      </c>
      <c r="G188" t="s">
        <v>1467</v>
      </c>
      <c r="H188" s="17" t="s">
        <v>2579</v>
      </c>
      <c r="I188" s="18" t="s">
        <v>503</v>
      </c>
      <c r="J188" t="s">
        <v>341</v>
      </c>
      <c r="K188" t="s">
        <v>296</v>
      </c>
    </row>
    <row r="189" spans="1:11" x14ac:dyDescent="0.2">
      <c r="A189" t="s">
        <v>505</v>
      </c>
      <c r="B189" s="21" t="s">
        <v>506</v>
      </c>
      <c r="C189"/>
      <c r="D189" t="s">
        <v>128</v>
      </c>
      <c r="E189" t="s">
        <v>453</v>
      </c>
      <c r="F189" s="20"/>
      <c r="H189" s="17" t="s">
        <v>1194</v>
      </c>
      <c r="I189" s="18"/>
      <c r="J189" t="s">
        <v>114</v>
      </c>
      <c r="K189" t="s">
        <v>158</v>
      </c>
    </row>
    <row r="190" spans="1:11" x14ac:dyDescent="0.2">
      <c r="A190" t="s">
        <v>507</v>
      </c>
      <c r="B190" s="21" t="s">
        <v>1034</v>
      </c>
      <c r="C190"/>
      <c r="D190" t="s">
        <v>210</v>
      </c>
      <c r="E190" t="s">
        <v>1378</v>
      </c>
      <c r="F190" s="20"/>
      <c r="H190" s="17" t="s">
        <v>1195</v>
      </c>
      <c r="I190" s="18">
        <v>58</v>
      </c>
      <c r="J190" t="s">
        <v>118</v>
      </c>
      <c r="K190" t="s">
        <v>318</v>
      </c>
    </row>
    <row r="191" spans="1:11" x14ac:dyDescent="0.2">
      <c r="A191" t="s">
        <v>508</v>
      </c>
      <c r="B191" s="21" t="s">
        <v>509</v>
      </c>
      <c r="C191"/>
      <c r="D191" t="s">
        <v>111</v>
      </c>
      <c r="E191">
        <v>308</v>
      </c>
      <c r="F191" s="20"/>
      <c r="H191" s="17" t="s">
        <v>1176</v>
      </c>
      <c r="I191" s="18">
        <v>34</v>
      </c>
      <c r="J191" t="s">
        <v>510</v>
      </c>
      <c r="K191" t="s">
        <v>511</v>
      </c>
    </row>
    <row r="192" spans="1:11" x14ac:dyDescent="0.2">
      <c r="A192" t="s">
        <v>916</v>
      </c>
      <c r="B192" s="21" t="s">
        <v>955</v>
      </c>
      <c r="C192"/>
      <c r="D192" t="s">
        <v>139</v>
      </c>
      <c r="E192" t="s">
        <v>929</v>
      </c>
      <c r="F192" s="20"/>
      <c r="H192" s="17" t="s">
        <v>1196</v>
      </c>
      <c r="I192" s="18">
        <v>34</v>
      </c>
      <c r="J192" t="s">
        <v>114</v>
      </c>
      <c r="K192" t="s">
        <v>238</v>
      </c>
    </row>
    <row r="193" spans="1:11" x14ac:dyDescent="0.2">
      <c r="A193" t="s">
        <v>512</v>
      </c>
      <c r="B193" s="21" t="s">
        <v>1035</v>
      </c>
      <c r="C193"/>
      <c r="D193" t="s">
        <v>173</v>
      </c>
      <c r="E193" t="s">
        <v>513</v>
      </c>
      <c r="F193" s="20"/>
      <c r="H193" s="17" t="s">
        <v>1197</v>
      </c>
      <c r="I193" s="18">
        <v>50</v>
      </c>
      <c r="J193">
        <v>19.8</v>
      </c>
    </row>
    <row r="194" spans="1:11" x14ac:dyDescent="0.2">
      <c r="A194" t="s">
        <v>514</v>
      </c>
      <c r="B194" s="21" t="s">
        <v>515</v>
      </c>
      <c r="C194"/>
      <c r="D194" t="s">
        <v>128</v>
      </c>
      <c r="E194" t="s">
        <v>397</v>
      </c>
      <c r="F194" s="20"/>
      <c r="H194" s="17" t="s">
        <v>1144</v>
      </c>
      <c r="I194" s="18">
        <v>20</v>
      </c>
      <c r="J194" t="s">
        <v>357</v>
      </c>
      <c r="K194" t="s">
        <v>302</v>
      </c>
    </row>
    <row r="195" spans="1:11" x14ac:dyDescent="0.2">
      <c r="A195" t="s">
        <v>985</v>
      </c>
      <c r="B195" s="21" t="s">
        <v>1036</v>
      </c>
      <c r="C195"/>
      <c r="D195" t="s">
        <v>128</v>
      </c>
      <c r="E195" t="s">
        <v>342</v>
      </c>
      <c r="F195" s="20"/>
      <c r="H195" s="17" t="s">
        <v>1198</v>
      </c>
      <c r="I195" s="18">
        <v>50</v>
      </c>
      <c r="J195" t="s">
        <v>204</v>
      </c>
      <c r="K195" t="s">
        <v>78</v>
      </c>
    </row>
    <row r="196" spans="1:11" x14ac:dyDescent="0.2">
      <c r="A196" t="s">
        <v>516</v>
      </c>
      <c r="B196" s="21" t="s">
        <v>1457</v>
      </c>
      <c r="C196">
        <v>667958450</v>
      </c>
      <c r="D196" t="s">
        <v>128</v>
      </c>
      <c r="E196" t="s">
        <v>342</v>
      </c>
      <c r="F196" s="20" t="s">
        <v>1458</v>
      </c>
      <c r="G196" t="s">
        <v>1459</v>
      </c>
      <c r="H196" s="17" t="s">
        <v>1460</v>
      </c>
      <c r="I196" s="18">
        <v>50</v>
      </c>
      <c r="J196" t="s">
        <v>1461</v>
      </c>
      <c r="K196" t="s">
        <v>78</v>
      </c>
    </row>
    <row r="197" spans="1:11" x14ac:dyDescent="0.2">
      <c r="A197" t="s">
        <v>517</v>
      </c>
      <c r="B197" s="21" t="s">
        <v>1037</v>
      </c>
      <c r="C197"/>
      <c r="D197" t="s">
        <v>128</v>
      </c>
      <c r="E197" t="s">
        <v>342</v>
      </c>
      <c r="F197" s="20"/>
      <c r="H197" s="17" t="s">
        <v>1199</v>
      </c>
      <c r="I197" s="18"/>
      <c r="J197">
        <v>19.8</v>
      </c>
      <c r="K197" t="s">
        <v>296</v>
      </c>
    </row>
    <row r="198" spans="1:11" x14ac:dyDescent="0.2">
      <c r="A198" t="s">
        <v>518</v>
      </c>
      <c r="B198" s="21" t="s">
        <v>519</v>
      </c>
      <c r="C198"/>
      <c r="D198" t="s">
        <v>521</v>
      </c>
      <c r="E198" t="s">
        <v>522</v>
      </c>
      <c r="F198" s="20"/>
      <c r="H198" s="17" t="s">
        <v>1200</v>
      </c>
      <c r="I198" s="18">
        <v>30</v>
      </c>
      <c r="J198" t="s">
        <v>520</v>
      </c>
      <c r="K198" t="s">
        <v>94</v>
      </c>
    </row>
    <row r="199" spans="1:11" x14ac:dyDescent="0.2">
      <c r="A199" t="s">
        <v>523</v>
      </c>
      <c r="B199" s="21" t="s">
        <v>417</v>
      </c>
      <c r="C199"/>
      <c r="D199" t="s">
        <v>128</v>
      </c>
      <c r="E199" t="s">
        <v>242</v>
      </c>
      <c r="F199" s="20"/>
      <c r="H199" s="17" t="s">
        <v>1201</v>
      </c>
      <c r="I199" s="18">
        <v>50</v>
      </c>
      <c r="J199">
        <v>19.8</v>
      </c>
    </row>
    <row r="200" spans="1:11" x14ac:dyDescent="0.2">
      <c r="A200" t="s">
        <v>524</v>
      </c>
      <c r="B200" s="21" t="s">
        <v>525</v>
      </c>
      <c r="C200"/>
      <c r="D200" t="s">
        <v>139</v>
      </c>
      <c r="E200" t="s">
        <v>527</v>
      </c>
      <c r="F200" s="20" t="s">
        <v>2640</v>
      </c>
      <c r="G200" t="s">
        <v>1453</v>
      </c>
      <c r="H200" s="17">
        <v>3.3</v>
      </c>
      <c r="I200" s="18" t="s">
        <v>1289</v>
      </c>
      <c r="J200" t="s">
        <v>526</v>
      </c>
      <c r="K200" t="s">
        <v>78</v>
      </c>
    </row>
    <row r="201" spans="1:11" x14ac:dyDescent="0.2">
      <c r="A201" t="s">
        <v>528</v>
      </c>
      <c r="B201" s="21" t="s">
        <v>529</v>
      </c>
      <c r="C201"/>
      <c r="D201" t="s">
        <v>105</v>
      </c>
      <c r="E201" t="s">
        <v>530</v>
      </c>
      <c r="F201" s="20"/>
      <c r="H201" s="17" t="s">
        <v>1202</v>
      </c>
      <c r="I201" s="18"/>
      <c r="J201">
        <v>22</v>
      </c>
      <c r="K201">
        <v>10</v>
      </c>
    </row>
    <row r="202" spans="1:11" x14ac:dyDescent="0.2">
      <c r="A202" t="s">
        <v>531</v>
      </c>
      <c r="B202" s="21" t="s">
        <v>1038</v>
      </c>
      <c r="C202"/>
      <c r="D202" t="s">
        <v>111</v>
      </c>
      <c r="E202" t="s">
        <v>1379</v>
      </c>
      <c r="F202" s="20"/>
      <c r="H202" s="17" t="s">
        <v>1203</v>
      </c>
      <c r="I202" s="18">
        <v>34</v>
      </c>
      <c r="J202" t="s">
        <v>532</v>
      </c>
      <c r="K202" t="s">
        <v>94</v>
      </c>
    </row>
    <row r="203" spans="1:11" x14ac:dyDescent="0.2">
      <c r="A203" t="s">
        <v>827</v>
      </c>
      <c r="B203" s="21" t="s">
        <v>1039</v>
      </c>
      <c r="C203"/>
      <c r="D203" t="s">
        <v>73</v>
      </c>
      <c r="E203" t="s">
        <v>1380</v>
      </c>
      <c r="F203" s="20"/>
      <c r="H203" s="17" t="s">
        <v>1170</v>
      </c>
      <c r="I203" s="18">
        <v>38</v>
      </c>
      <c r="J203" t="s">
        <v>77</v>
      </c>
      <c r="K203" t="s">
        <v>94</v>
      </c>
    </row>
    <row r="204" spans="1:11" x14ac:dyDescent="0.2">
      <c r="A204" t="s">
        <v>533</v>
      </c>
      <c r="B204" s="21" t="s">
        <v>1038</v>
      </c>
      <c r="C204"/>
      <c r="D204" t="s">
        <v>105</v>
      </c>
      <c r="E204" t="s">
        <v>530</v>
      </c>
      <c r="F204" s="20"/>
      <c r="H204" s="17" t="s">
        <v>1204</v>
      </c>
      <c r="I204" s="18">
        <v>30</v>
      </c>
      <c r="J204" t="s">
        <v>118</v>
      </c>
      <c r="K204" t="s">
        <v>119</v>
      </c>
    </row>
    <row r="205" spans="1:11" x14ac:dyDescent="0.2">
      <c r="A205" t="s">
        <v>534</v>
      </c>
      <c r="B205" s="21" t="s">
        <v>1040</v>
      </c>
      <c r="C205"/>
      <c r="D205" t="s">
        <v>120</v>
      </c>
      <c r="E205" t="s">
        <v>530</v>
      </c>
      <c r="F205" s="20"/>
      <c r="H205" s="17" t="s">
        <v>1205</v>
      </c>
      <c r="I205" s="18">
        <v>30</v>
      </c>
      <c r="J205" t="s">
        <v>535</v>
      </c>
      <c r="K205" t="s">
        <v>119</v>
      </c>
    </row>
    <row r="206" spans="1:11" x14ac:dyDescent="0.2">
      <c r="A206" t="s">
        <v>536</v>
      </c>
      <c r="B206" s="21" t="s">
        <v>1017</v>
      </c>
      <c r="C206"/>
      <c r="D206" t="s">
        <v>111</v>
      </c>
      <c r="E206">
        <v>2008</v>
      </c>
      <c r="F206" s="20"/>
      <c r="H206" s="17" t="s">
        <v>1206</v>
      </c>
      <c r="I206" s="18">
        <v>42</v>
      </c>
      <c r="J206" t="s">
        <v>160</v>
      </c>
      <c r="K206" t="s">
        <v>218</v>
      </c>
    </row>
    <row r="207" spans="1:11" x14ac:dyDescent="0.2">
      <c r="A207" t="s">
        <v>851</v>
      </c>
      <c r="B207" s="21" t="s">
        <v>852</v>
      </c>
      <c r="C207"/>
      <c r="D207" t="s">
        <v>128</v>
      </c>
      <c r="E207" t="s">
        <v>1381</v>
      </c>
      <c r="F207" s="20"/>
      <c r="H207" s="17" t="s">
        <v>1207</v>
      </c>
      <c r="I207" s="18">
        <v>20</v>
      </c>
      <c r="J207" t="s">
        <v>204</v>
      </c>
      <c r="K207" t="s">
        <v>78</v>
      </c>
    </row>
    <row r="208" spans="1:11" x14ac:dyDescent="0.2">
      <c r="A208" t="s">
        <v>537</v>
      </c>
      <c r="B208" s="21" t="s">
        <v>538</v>
      </c>
      <c r="C208"/>
      <c r="D208" t="s">
        <v>128</v>
      </c>
      <c r="E208" t="s">
        <v>540</v>
      </c>
      <c r="F208" s="20"/>
      <c r="H208" s="17" t="s">
        <v>1208</v>
      </c>
      <c r="I208" s="18">
        <v>50</v>
      </c>
      <c r="J208" t="s">
        <v>539</v>
      </c>
      <c r="K208" t="s">
        <v>78</v>
      </c>
    </row>
    <row r="209" spans="1:11" x14ac:dyDescent="0.2">
      <c r="A209" t="s">
        <v>541</v>
      </c>
      <c r="B209" s="21" t="s">
        <v>165</v>
      </c>
      <c r="C209"/>
      <c r="D209" t="s">
        <v>131</v>
      </c>
      <c r="E209" t="s">
        <v>165</v>
      </c>
      <c r="F209" s="20"/>
      <c r="H209" s="17" t="s">
        <v>1209</v>
      </c>
      <c r="I209" s="18">
        <v>40</v>
      </c>
      <c r="J209" t="s">
        <v>93</v>
      </c>
      <c r="K209" t="s">
        <v>198</v>
      </c>
    </row>
    <row r="210" spans="1:11" x14ac:dyDescent="0.2">
      <c r="A210" t="s">
        <v>542</v>
      </c>
      <c r="B210" s="21" t="s">
        <v>951</v>
      </c>
      <c r="C210"/>
      <c r="D210" t="s">
        <v>139</v>
      </c>
      <c r="E210" t="s">
        <v>1382</v>
      </c>
      <c r="F210" s="20"/>
      <c r="H210" s="17" t="s">
        <v>1210</v>
      </c>
      <c r="I210" s="18"/>
      <c r="J210" t="s">
        <v>160</v>
      </c>
      <c r="K210" t="s">
        <v>94</v>
      </c>
    </row>
    <row r="211" spans="1:11" x14ac:dyDescent="0.2">
      <c r="A211" t="s">
        <v>543</v>
      </c>
      <c r="B211" s="21" t="s">
        <v>270</v>
      </c>
      <c r="C211"/>
      <c r="D211" t="s">
        <v>228</v>
      </c>
      <c r="E211" t="s">
        <v>229</v>
      </c>
      <c r="F211" s="20"/>
      <c r="G211" t="s">
        <v>1482</v>
      </c>
      <c r="H211" s="17" t="s">
        <v>1852</v>
      </c>
      <c r="I211" s="18">
        <v>30</v>
      </c>
      <c r="J211" t="s">
        <v>544</v>
      </c>
      <c r="K211" t="s">
        <v>238</v>
      </c>
    </row>
    <row r="212" spans="1:11" x14ac:dyDescent="0.2">
      <c r="A212" t="s">
        <v>788</v>
      </c>
      <c r="B212" s="21" t="s">
        <v>1038</v>
      </c>
      <c r="C212"/>
      <c r="D212" t="s">
        <v>111</v>
      </c>
      <c r="E212" t="s">
        <v>1383</v>
      </c>
      <c r="F212" s="20"/>
      <c r="H212" s="17" t="s">
        <v>1122</v>
      </c>
      <c r="I212" s="18">
        <v>34</v>
      </c>
      <c r="J212" t="s">
        <v>789</v>
      </c>
      <c r="K212" t="s">
        <v>94</v>
      </c>
    </row>
    <row r="213" spans="1:11" x14ac:dyDescent="0.2">
      <c r="A213" t="s">
        <v>545</v>
      </c>
      <c r="B213" s="21" t="s">
        <v>175</v>
      </c>
      <c r="C213"/>
      <c r="D213" t="s">
        <v>210</v>
      </c>
      <c r="E213" t="s">
        <v>1384</v>
      </c>
      <c r="F213" s="89">
        <v>39470</v>
      </c>
      <c r="G213" t="s">
        <v>1955</v>
      </c>
      <c r="H213" s="90" t="s">
        <v>1956</v>
      </c>
      <c r="I213" s="92" t="s">
        <v>1957</v>
      </c>
      <c r="J213" t="s">
        <v>72</v>
      </c>
      <c r="K213" t="s">
        <v>238</v>
      </c>
    </row>
    <row r="214" spans="1:11" x14ac:dyDescent="0.2">
      <c r="A214" t="s">
        <v>546</v>
      </c>
      <c r="B214" s="21" t="s">
        <v>175</v>
      </c>
      <c r="C214"/>
      <c r="D214" t="s">
        <v>232</v>
      </c>
      <c r="E214" t="s">
        <v>1385</v>
      </c>
      <c r="F214" s="20"/>
      <c r="H214" s="17" t="s">
        <v>1103</v>
      </c>
      <c r="I214" s="18">
        <v>20</v>
      </c>
      <c r="J214" t="s">
        <v>231</v>
      </c>
      <c r="K214" t="s">
        <v>82</v>
      </c>
    </row>
    <row r="215" spans="1:11" x14ac:dyDescent="0.2">
      <c r="A215" t="s">
        <v>547</v>
      </c>
      <c r="B215" s="21" t="s">
        <v>548</v>
      </c>
      <c r="C215"/>
      <c r="D215" t="s">
        <v>139</v>
      </c>
      <c r="E215" t="s">
        <v>549</v>
      </c>
      <c r="F215" s="20"/>
      <c r="H215" s="17" t="s">
        <v>1211</v>
      </c>
      <c r="I215" s="18">
        <v>34</v>
      </c>
      <c r="J215" t="s">
        <v>160</v>
      </c>
      <c r="K215" t="s">
        <v>94</v>
      </c>
    </row>
    <row r="216" spans="1:11" x14ac:dyDescent="0.2">
      <c r="A216" t="s">
        <v>550</v>
      </c>
      <c r="B216" s="21" t="s">
        <v>551</v>
      </c>
      <c r="C216"/>
      <c r="D216" t="s">
        <v>445</v>
      </c>
      <c r="E216" t="s">
        <v>554</v>
      </c>
      <c r="F216" s="20"/>
      <c r="H216" s="17" t="s">
        <v>1212</v>
      </c>
      <c r="I216" s="18">
        <v>42</v>
      </c>
      <c r="J216" t="s">
        <v>552</v>
      </c>
      <c r="K216" t="s">
        <v>553</v>
      </c>
    </row>
    <row r="217" spans="1:11" x14ac:dyDescent="0.2">
      <c r="A217" t="s">
        <v>555</v>
      </c>
      <c r="B217" s="21" t="s">
        <v>392</v>
      </c>
      <c r="C217"/>
      <c r="D217" t="s">
        <v>128</v>
      </c>
      <c r="E217" t="s">
        <v>1386</v>
      </c>
      <c r="F217" s="20"/>
      <c r="H217" s="17" t="s">
        <v>1138</v>
      </c>
      <c r="I217" s="18">
        <v>20</v>
      </c>
      <c r="J217" t="s">
        <v>556</v>
      </c>
      <c r="K217" t="s">
        <v>78</v>
      </c>
    </row>
    <row r="218" spans="1:11" x14ac:dyDescent="0.2">
      <c r="A218" t="s">
        <v>986</v>
      </c>
      <c r="B218" s="21" t="s">
        <v>2842</v>
      </c>
      <c r="C218"/>
      <c r="D218" t="s">
        <v>111</v>
      </c>
      <c r="E218">
        <v>208</v>
      </c>
      <c r="F218" s="20" t="s">
        <v>2843</v>
      </c>
      <c r="G218" t="s">
        <v>1704</v>
      </c>
      <c r="H218" s="17" t="s">
        <v>2844</v>
      </c>
      <c r="I218" s="18" t="s">
        <v>1770</v>
      </c>
      <c r="J218" t="s">
        <v>285</v>
      </c>
      <c r="K218" t="s">
        <v>110</v>
      </c>
    </row>
    <row r="219" spans="1:11" x14ac:dyDescent="0.2">
      <c r="A219" t="s">
        <v>557</v>
      </c>
      <c r="B219" s="21" t="s">
        <v>558</v>
      </c>
      <c r="C219"/>
      <c r="D219" t="s">
        <v>111</v>
      </c>
      <c r="E219" t="s">
        <v>1387</v>
      </c>
      <c r="F219" s="20"/>
      <c r="H219" s="17" t="s">
        <v>1213</v>
      </c>
      <c r="I219" s="18">
        <v>34</v>
      </c>
      <c r="J219" t="s">
        <v>114</v>
      </c>
      <c r="K219" t="s">
        <v>238</v>
      </c>
    </row>
    <row r="220" spans="1:11" x14ac:dyDescent="0.2">
      <c r="A220" t="s">
        <v>559</v>
      </c>
      <c r="B220" s="21" t="s">
        <v>560</v>
      </c>
      <c r="C220"/>
      <c r="D220" t="s">
        <v>399</v>
      </c>
      <c r="E220" t="s">
        <v>1388</v>
      </c>
      <c r="F220" s="20"/>
      <c r="H220" s="17" t="s">
        <v>1214</v>
      </c>
      <c r="I220" s="18">
        <v>25</v>
      </c>
      <c r="J220" t="s">
        <v>404</v>
      </c>
      <c r="K220" t="s">
        <v>561</v>
      </c>
    </row>
    <row r="221" spans="1:11" x14ac:dyDescent="0.2">
      <c r="A221" t="s">
        <v>562</v>
      </c>
      <c r="B221" s="21" t="s">
        <v>425</v>
      </c>
      <c r="C221"/>
      <c r="D221" t="s">
        <v>128</v>
      </c>
      <c r="E221" t="s">
        <v>342</v>
      </c>
      <c r="F221" s="20"/>
      <c r="H221" s="17" t="s">
        <v>1215</v>
      </c>
      <c r="I221" s="18">
        <v>20</v>
      </c>
      <c r="J221" t="s">
        <v>341</v>
      </c>
      <c r="K221" t="s">
        <v>78</v>
      </c>
    </row>
    <row r="222" spans="1:11" x14ac:dyDescent="0.2">
      <c r="A222" t="s">
        <v>987</v>
      </c>
      <c r="B222" s="21" t="s">
        <v>172</v>
      </c>
      <c r="C222"/>
      <c r="D222" t="s">
        <v>139</v>
      </c>
      <c r="E222" t="s">
        <v>403</v>
      </c>
      <c r="F222" s="20"/>
      <c r="H222" s="17" t="s">
        <v>277</v>
      </c>
      <c r="I222" s="18"/>
      <c r="J222"/>
      <c r="K222" t="s">
        <v>441</v>
      </c>
    </row>
    <row r="223" spans="1:11" x14ac:dyDescent="0.2">
      <c r="A223" t="s">
        <v>563</v>
      </c>
      <c r="B223" s="21" t="s">
        <v>997</v>
      </c>
      <c r="C223"/>
      <c r="D223" t="s">
        <v>111</v>
      </c>
      <c r="E223" t="s">
        <v>1389</v>
      </c>
      <c r="F223" s="20"/>
      <c r="H223" s="17" t="s">
        <v>1216</v>
      </c>
      <c r="I223" s="18">
        <v>34</v>
      </c>
      <c r="J223" t="s">
        <v>308</v>
      </c>
      <c r="K223" t="s">
        <v>94</v>
      </c>
    </row>
    <row r="224" spans="1:11" x14ac:dyDescent="0.2">
      <c r="A224" t="s">
        <v>564</v>
      </c>
      <c r="B224" s="21" t="s">
        <v>565</v>
      </c>
      <c r="C224"/>
      <c r="D224" t="s">
        <v>139</v>
      </c>
      <c r="E224" t="s">
        <v>549</v>
      </c>
      <c r="F224" s="20"/>
      <c r="H224" s="17" t="s">
        <v>1217</v>
      </c>
      <c r="I224" s="18">
        <v>34</v>
      </c>
      <c r="J224" t="s">
        <v>160</v>
      </c>
      <c r="K224" t="s">
        <v>78</v>
      </c>
    </row>
    <row r="225" spans="1:11" x14ac:dyDescent="0.2">
      <c r="A225" t="s">
        <v>566</v>
      </c>
      <c r="B225" s="21" t="s">
        <v>392</v>
      </c>
      <c r="C225"/>
      <c r="D225" t="s">
        <v>173</v>
      </c>
      <c r="E225" t="s">
        <v>504</v>
      </c>
      <c r="F225" s="20"/>
      <c r="H225" s="17" t="s">
        <v>1218</v>
      </c>
      <c r="I225" s="18">
        <v>25</v>
      </c>
      <c r="J225" t="s">
        <v>567</v>
      </c>
      <c r="K225" t="s">
        <v>78</v>
      </c>
    </row>
    <row r="226" spans="1:11" x14ac:dyDescent="0.2">
      <c r="A226" t="s">
        <v>568</v>
      </c>
      <c r="B226" s="21" t="s">
        <v>1041</v>
      </c>
      <c r="C226"/>
      <c r="D226" t="s">
        <v>139</v>
      </c>
      <c r="E226" t="s">
        <v>570</v>
      </c>
      <c r="F226" s="20"/>
      <c r="H226" s="17"/>
      <c r="I226" s="18"/>
      <c r="J226" t="s">
        <v>82</v>
      </c>
      <c r="K226" t="s">
        <v>569</v>
      </c>
    </row>
    <row r="227" spans="1:11" x14ac:dyDescent="0.2">
      <c r="A227" t="s">
        <v>571</v>
      </c>
      <c r="B227" s="21" t="s">
        <v>572</v>
      </c>
      <c r="C227"/>
      <c r="D227" t="s">
        <v>111</v>
      </c>
      <c r="E227">
        <v>3008</v>
      </c>
      <c r="F227" s="20"/>
      <c r="H227" s="17" t="s">
        <v>1219</v>
      </c>
      <c r="I227" s="18"/>
      <c r="J227" t="s">
        <v>573</v>
      </c>
      <c r="K227" t="s">
        <v>238</v>
      </c>
    </row>
    <row r="228" spans="1:11" x14ac:dyDescent="0.2">
      <c r="A228" t="s">
        <v>574</v>
      </c>
      <c r="B228" s="21" t="s">
        <v>175</v>
      </c>
      <c r="C228"/>
      <c r="D228" t="s">
        <v>111</v>
      </c>
      <c r="E228">
        <v>208</v>
      </c>
      <c r="F228" s="20"/>
      <c r="H228" s="17" t="s">
        <v>1211</v>
      </c>
      <c r="I228" s="18">
        <v>34</v>
      </c>
      <c r="J228" t="s">
        <v>308</v>
      </c>
      <c r="K228" t="s">
        <v>94</v>
      </c>
    </row>
    <row r="229" spans="1:11" x14ac:dyDescent="0.2">
      <c r="A229" t="s">
        <v>575</v>
      </c>
      <c r="B229" s="21" t="s">
        <v>175</v>
      </c>
      <c r="C229"/>
      <c r="D229" t="s">
        <v>111</v>
      </c>
      <c r="E229">
        <v>208</v>
      </c>
      <c r="F229" s="20"/>
      <c r="H229" s="17" t="s">
        <v>1220</v>
      </c>
      <c r="I229" s="18">
        <v>34</v>
      </c>
      <c r="J229" t="s">
        <v>428</v>
      </c>
      <c r="K229" t="s">
        <v>94</v>
      </c>
    </row>
    <row r="230" spans="1:11" x14ac:dyDescent="0.2">
      <c r="A230" t="s">
        <v>576</v>
      </c>
      <c r="B230" s="21" t="s">
        <v>392</v>
      </c>
      <c r="C230"/>
      <c r="D230" t="s">
        <v>139</v>
      </c>
      <c r="E230" t="s">
        <v>527</v>
      </c>
      <c r="F230" s="20"/>
      <c r="H230" s="17" t="s">
        <v>1141</v>
      </c>
      <c r="I230" s="18">
        <v>30</v>
      </c>
      <c r="J230" t="s">
        <v>526</v>
      </c>
      <c r="K230" t="s">
        <v>78</v>
      </c>
    </row>
    <row r="231" spans="1:11" x14ac:dyDescent="0.2">
      <c r="A231" t="s">
        <v>577</v>
      </c>
      <c r="B231" s="21" t="s">
        <v>329</v>
      </c>
      <c r="C231"/>
      <c r="D231" t="s">
        <v>122</v>
      </c>
      <c r="E231" t="s">
        <v>123</v>
      </c>
      <c r="F231" s="20"/>
      <c r="H231" s="17" t="s">
        <v>1221</v>
      </c>
      <c r="I231" s="18">
        <v>30</v>
      </c>
      <c r="J231" t="s">
        <v>378</v>
      </c>
      <c r="K231" t="s">
        <v>94</v>
      </c>
    </row>
    <row r="232" spans="1:11" x14ac:dyDescent="0.2">
      <c r="A232" t="s">
        <v>578</v>
      </c>
      <c r="B232" s="21" t="s">
        <v>1042</v>
      </c>
      <c r="C232"/>
      <c r="D232" t="s">
        <v>111</v>
      </c>
      <c r="E232">
        <v>308</v>
      </c>
      <c r="F232" s="89">
        <v>42947</v>
      </c>
      <c r="G232" s="21" t="s">
        <v>1704</v>
      </c>
      <c r="H232" s="90" t="s">
        <v>1923</v>
      </c>
      <c r="I232" s="18">
        <v>34</v>
      </c>
      <c r="J232" t="s">
        <v>579</v>
      </c>
      <c r="K232" t="s">
        <v>254</v>
      </c>
    </row>
    <row r="233" spans="1:11" x14ac:dyDescent="0.2">
      <c r="A233" t="s">
        <v>580</v>
      </c>
      <c r="B233" s="21" t="s">
        <v>392</v>
      </c>
      <c r="C233"/>
      <c r="D233" t="s">
        <v>173</v>
      </c>
      <c r="E233" t="s">
        <v>504</v>
      </c>
      <c r="F233" s="20"/>
      <c r="H233" s="17" t="s">
        <v>1222</v>
      </c>
      <c r="I233" s="18">
        <v>25</v>
      </c>
      <c r="J233" t="s">
        <v>581</v>
      </c>
      <c r="K233" t="s">
        <v>78</v>
      </c>
    </row>
    <row r="234" spans="1:11" x14ac:dyDescent="0.2">
      <c r="A234" t="s">
        <v>582</v>
      </c>
      <c r="B234" s="21" t="s">
        <v>392</v>
      </c>
      <c r="C234"/>
      <c r="D234" t="s">
        <v>139</v>
      </c>
      <c r="E234" t="s">
        <v>527</v>
      </c>
      <c r="F234" s="20"/>
      <c r="H234" s="17"/>
      <c r="I234" s="18"/>
      <c r="J234" t="s">
        <v>526</v>
      </c>
    </row>
    <row r="235" spans="1:11" x14ac:dyDescent="0.2">
      <c r="A235" t="s">
        <v>583</v>
      </c>
      <c r="B235" s="21" t="s">
        <v>1043</v>
      </c>
      <c r="C235"/>
      <c r="D235" t="s">
        <v>111</v>
      </c>
      <c r="E235">
        <v>208</v>
      </c>
      <c r="F235" s="20"/>
      <c r="H235" s="17" t="s">
        <v>1223</v>
      </c>
      <c r="I235" s="18">
        <v>34</v>
      </c>
      <c r="J235" t="s">
        <v>584</v>
      </c>
      <c r="K235" t="s">
        <v>94</v>
      </c>
    </row>
    <row r="236" spans="1:11" x14ac:dyDescent="0.2">
      <c r="A236" t="s">
        <v>585</v>
      </c>
      <c r="B236" s="21" t="s">
        <v>392</v>
      </c>
      <c r="C236"/>
      <c r="D236" t="s">
        <v>173</v>
      </c>
      <c r="E236" t="s">
        <v>504</v>
      </c>
      <c r="F236" s="20" t="s">
        <v>2454</v>
      </c>
      <c r="G236" t="s">
        <v>2644</v>
      </c>
      <c r="H236" s="17" t="s">
        <v>2645</v>
      </c>
      <c r="I236" s="18" t="s">
        <v>503</v>
      </c>
      <c r="J236" t="s">
        <v>581</v>
      </c>
      <c r="K236" t="s">
        <v>302</v>
      </c>
    </row>
    <row r="237" spans="1:11" x14ac:dyDescent="0.2">
      <c r="A237" t="s">
        <v>586</v>
      </c>
      <c r="B237" s="21" t="s">
        <v>392</v>
      </c>
      <c r="C237"/>
      <c r="D237" t="s">
        <v>173</v>
      </c>
      <c r="E237" t="s">
        <v>174</v>
      </c>
      <c r="F237" s="20">
        <v>42957</v>
      </c>
      <c r="G237" t="s">
        <v>1553</v>
      </c>
      <c r="H237" s="17" t="s">
        <v>1743</v>
      </c>
      <c r="I237" s="18">
        <v>20</v>
      </c>
      <c r="J237" t="s">
        <v>1327</v>
      </c>
      <c r="K237" t="s">
        <v>78</v>
      </c>
    </row>
    <row r="238" spans="1:11" x14ac:dyDescent="0.2">
      <c r="A238" t="s">
        <v>587</v>
      </c>
      <c r="B238" s="21" t="s">
        <v>392</v>
      </c>
      <c r="C238"/>
      <c r="D238" t="s">
        <v>173</v>
      </c>
      <c r="E238" t="s">
        <v>504</v>
      </c>
      <c r="F238" s="20"/>
      <c r="H238" s="17" t="s">
        <v>1224</v>
      </c>
      <c r="I238" s="18">
        <v>25</v>
      </c>
      <c r="J238" t="s">
        <v>588</v>
      </c>
      <c r="K238" t="s">
        <v>78</v>
      </c>
    </row>
    <row r="239" spans="1:11" x14ac:dyDescent="0.2">
      <c r="A239" t="s">
        <v>589</v>
      </c>
      <c r="B239" s="21" t="s">
        <v>172</v>
      </c>
      <c r="C239"/>
      <c r="D239" t="s">
        <v>111</v>
      </c>
      <c r="E239">
        <v>208</v>
      </c>
      <c r="F239" s="20"/>
      <c r="H239" s="17"/>
      <c r="I239" s="18"/>
      <c r="J239" t="s">
        <v>590</v>
      </c>
      <c r="K239" t="s">
        <v>94</v>
      </c>
    </row>
    <row r="240" spans="1:11" x14ac:dyDescent="0.2">
      <c r="A240" t="s">
        <v>591</v>
      </c>
      <c r="B240" s="21" t="s">
        <v>592</v>
      </c>
      <c r="C240"/>
      <c r="D240" t="s">
        <v>120</v>
      </c>
      <c r="E240" t="s">
        <v>1390</v>
      </c>
      <c r="F240" s="20"/>
      <c r="H240" s="17" t="s">
        <v>1225</v>
      </c>
      <c r="I240" s="18">
        <v>30</v>
      </c>
      <c r="J240" t="s">
        <v>231</v>
      </c>
      <c r="K240" t="s">
        <v>82</v>
      </c>
    </row>
    <row r="241" spans="1:11" x14ac:dyDescent="0.2">
      <c r="A241" t="s">
        <v>593</v>
      </c>
      <c r="B241" s="21" t="s">
        <v>594</v>
      </c>
      <c r="C241"/>
      <c r="D241" t="s">
        <v>73</v>
      </c>
      <c r="E241" t="s">
        <v>95</v>
      </c>
      <c r="F241" s="20"/>
      <c r="H241" s="17"/>
      <c r="I241" s="18"/>
      <c r="J241">
        <v>19</v>
      </c>
      <c r="K241">
        <v>7</v>
      </c>
    </row>
    <row r="242" spans="1:11" x14ac:dyDescent="0.2">
      <c r="A242" t="s">
        <v>595</v>
      </c>
      <c r="B242" s="21" t="s">
        <v>76</v>
      </c>
      <c r="C242"/>
      <c r="D242" t="s">
        <v>111</v>
      </c>
      <c r="E242">
        <v>308</v>
      </c>
      <c r="F242" s="20"/>
      <c r="H242" s="17" t="s">
        <v>1226</v>
      </c>
      <c r="I242" s="18">
        <v>30</v>
      </c>
      <c r="J242" t="s">
        <v>596</v>
      </c>
      <c r="K242" t="s">
        <v>596</v>
      </c>
    </row>
    <row r="243" spans="1:11" x14ac:dyDescent="0.2">
      <c r="A243" t="s">
        <v>597</v>
      </c>
      <c r="B243" s="21" t="s">
        <v>598</v>
      </c>
      <c r="C243"/>
      <c r="D243" t="s">
        <v>131</v>
      </c>
      <c r="E243" t="s">
        <v>199</v>
      </c>
      <c r="F243" s="20"/>
      <c r="H243" s="17" t="s">
        <v>1227</v>
      </c>
      <c r="I243" s="18">
        <v>40</v>
      </c>
      <c r="J243" t="s">
        <v>93</v>
      </c>
      <c r="K243" t="s">
        <v>198</v>
      </c>
    </row>
    <row r="244" spans="1:11" x14ac:dyDescent="0.2">
      <c r="A244" t="s">
        <v>826</v>
      </c>
      <c r="B244" s="21" t="s">
        <v>753</v>
      </c>
      <c r="C244"/>
      <c r="D244" t="s">
        <v>213</v>
      </c>
      <c r="E244" t="s">
        <v>2096</v>
      </c>
      <c r="F244" s="20">
        <v>42978</v>
      </c>
      <c r="G244" t="s">
        <v>2097</v>
      </c>
      <c r="H244" s="17" t="s">
        <v>2098</v>
      </c>
      <c r="I244" s="18"/>
      <c r="J244" t="s">
        <v>72</v>
      </c>
      <c r="K244" t="s">
        <v>115</v>
      </c>
    </row>
    <row r="245" spans="1:11" x14ac:dyDescent="0.2">
      <c r="A245" t="s">
        <v>599</v>
      </c>
      <c r="B245" s="21" t="s">
        <v>600</v>
      </c>
      <c r="C245"/>
      <c r="D245" t="s">
        <v>128</v>
      </c>
      <c r="E245" t="s">
        <v>336</v>
      </c>
      <c r="F245" s="20"/>
      <c r="H245" s="17" t="s">
        <v>1228</v>
      </c>
      <c r="I245" s="18">
        <v>50</v>
      </c>
      <c r="J245" t="s">
        <v>601</v>
      </c>
      <c r="K245" t="s">
        <v>78</v>
      </c>
    </row>
    <row r="246" spans="1:11" x14ac:dyDescent="0.2">
      <c r="A246" t="s">
        <v>602</v>
      </c>
      <c r="B246" s="21" t="s">
        <v>1044</v>
      </c>
      <c r="C246"/>
      <c r="D246" t="s">
        <v>120</v>
      </c>
      <c r="E246" t="s">
        <v>605</v>
      </c>
      <c r="F246" s="20"/>
      <c r="H246" s="17" t="s">
        <v>1229</v>
      </c>
      <c r="I246" s="18">
        <v>30</v>
      </c>
      <c r="J246" t="s">
        <v>603</v>
      </c>
      <c r="K246" t="s">
        <v>604</v>
      </c>
    </row>
    <row r="247" spans="1:11" x14ac:dyDescent="0.2">
      <c r="A247" t="s">
        <v>849</v>
      </c>
      <c r="B247" s="21" t="s">
        <v>850</v>
      </c>
      <c r="C247"/>
      <c r="D247" t="s">
        <v>213</v>
      </c>
      <c r="E247" t="s">
        <v>2803</v>
      </c>
      <c r="F247" s="20" t="s">
        <v>2804</v>
      </c>
      <c r="G247" t="s">
        <v>1979</v>
      </c>
      <c r="H247" s="17" t="s">
        <v>2805</v>
      </c>
      <c r="I247" s="18" t="s">
        <v>1869</v>
      </c>
      <c r="J247" t="s">
        <v>81</v>
      </c>
      <c r="K247" t="s">
        <v>302</v>
      </c>
    </row>
    <row r="248" spans="1:11" x14ac:dyDescent="0.2">
      <c r="A248" t="s">
        <v>606</v>
      </c>
      <c r="B248" s="21" t="s">
        <v>392</v>
      </c>
      <c r="C248"/>
      <c r="D248" t="s">
        <v>128</v>
      </c>
      <c r="E248" t="s">
        <v>342</v>
      </c>
      <c r="F248" s="20"/>
      <c r="H248" s="17" t="s">
        <v>1118</v>
      </c>
      <c r="I248" s="18">
        <v>20</v>
      </c>
      <c r="J248" t="s">
        <v>341</v>
      </c>
      <c r="K248" t="s">
        <v>78</v>
      </c>
    </row>
    <row r="249" spans="1:11" x14ac:dyDescent="0.2">
      <c r="A249" t="s">
        <v>607</v>
      </c>
      <c r="B249" s="21" t="s">
        <v>1045</v>
      </c>
      <c r="C249"/>
      <c r="D249" t="s">
        <v>232</v>
      </c>
      <c r="E249" t="s">
        <v>1391</v>
      </c>
      <c r="F249" s="20"/>
      <c r="H249" s="17" t="s">
        <v>1230</v>
      </c>
      <c r="I249" s="18">
        <v>50</v>
      </c>
      <c r="J249" t="s">
        <v>231</v>
      </c>
      <c r="K249" t="s">
        <v>82</v>
      </c>
    </row>
    <row r="250" spans="1:11" x14ac:dyDescent="0.2">
      <c r="A250" t="s">
        <v>608</v>
      </c>
      <c r="B250" s="21" t="s">
        <v>609</v>
      </c>
      <c r="C250"/>
      <c r="D250" t="s">
        <v>111</v>
      </c>
      <c r="E250" s="23">
        <v>308</v>
      </c>
      <c r="F250" s="20">
        <v>39998</v>
      </c>
      <c r="G250" t="s">
        <v>1735</v>
      </c>
      <c r="H250" s="17" t="s">
        <v>2720</v>
      </c>
      <c r="I250" s="18" t="s">
        <v>1484</v>
      </c>
      <c r="J250" t="s">
        <v>114</v>
      </c>
      <c r="K250" t="s">
        <v>254</v>
      </c>
    </row>
    <row r="251" spans="1:11" x14ac:dyDescent="0.2">
      <c r="A251" t="s">
        <v>610</v>
      </c>
      <c r="B251" s="21" t="s">
        <v>402</v>
      </c>
      <c r="C251"/>
      <c r="D251" t="s">
        <v>139</v>
      </c>
      <c r="E251" t="s">
        <v>403</v>
      </c>
      <c r="F251" s="20"/>
      <c r="H251" s="17" t="s">
        <v>1231</v>
      </c>
      <c r="I251" s="18">
        <v>42</v>
      </c>
      <c r="J251" t="s">
        <v>1328</v>
      </c>
      <c r="K251" t="s">
        <v>611</v>
      </c>
    </row>
    <row r="252" spans="1:11" x14ac:dyDescent="0.2">
      <c r="A252" t="s">
        <v>612</v>
      </c>
      <c r="B252" s="21" t="s">
        <v>387</v>
      </c>
      <c r="C252"/>
      <c r="D252" t="s">
        <v>437</v>
      </c>
      <c r="E252" t="s">
        <v>1392</v>
      </c>
      <c r="F252" s="20"/>
      <c r="H252" s="17" t="s">
        <v>1232</v>
      </c>
      <c r="I252" s="18"/>
      <c r="J252" t="s">
        <v>613</v>
      </c>
      <c r="K252" t="s">
        <v>78</v>
      </c>
    </row>
    <row r="253" spans="1:11" x14ac:dyDescent="0.2">
      <c r="A253" t="s">
        <v>855</v>
      </c>
      <c r="B253" s="21" t="s">
        <v>856</v>
      </c>
      <c r="C253"/>
      <c r="D253" t="s">
        <v>232</v>
      </c>
      <c r="E253" t="s">
        <v>1393</v>
      </c>
      <c r="F253" s="20"/>
      <c r="H253" s="17" t="s">
        <v>1233</v>
      </c>
      <c r="I253" s="18">
        <v>50</v>
      </c>
      <c r="J253" t="s">
        <v>231</v>
      </c>
      <c r="K253" t="s">
        <v>82</v>
      </c>
    </row>
    <row r="254" spans="1:11" x14ac:dyDescent="0.2">
      <c r="A254" t="s">
        <v>614</v>
      </c>
      <c r="B254" s="21" t="s">
        <v>175</v>
      </c>
      <c r="C254"/>
      <c r="D254" t="s">
        <v>73</v>
      </c>
      <c r="E254" t="s">
        <v>1394</v>
      </c>
      <c r="F254" s="20"/>
      <c r="H254" s="17" t="s">
        <v>1234</v>
      </c>
      <c r="I254" s="18">
        <v>25</v>
      </c>
      <c r="J254" t="s">
        <v>98</v>
      </c>
      <c r="K254" t="s">
        <v>99</v>
      </c>
    </row>
    <row r="255" spans="1:11" x14ac:dyDescent="0.2">
      <c r="A255" t="s">
        <v>615</v>
      </c>
      <c r="B255" s="21" t="s">
        <v>1045</v>
      </c>
      <c r="C255"/>
      <c r="D255" t="s">
        <v>139</v>
      </c>
      <c r="E255" t="s">
        <v>1395</v>
      </c>
      <c r="F255" s="20"/>
      <c r="H255" s="17" t="s">
        <v>1235</v>
      </c>
      <c r="I255" s="18">
        <v>20</v>
      </c>
      <c r="J255" t="s">
        <v>616</v>
      </c>
      <c r="K255" t="s">
        <v>94</v>
      </c>
    </row>
    <row r="256" spans="1:11" x14ac:dyDescent="0.2">
      <c r="A256" t="s">
        <v>617</v>
      </c>
      <c r="B256" s="21" t="s">
        <v>175</v>
      </c>
      <c r="C256"/>
      <c r="D256" t="s">
        <v>128</v>
      </c>
      <c r="E256" t="s">
        <v>336</v>
      </c>
      <c r="F256" s="20"/>
      <c r="H256" s="17" t="s">
        <v>1236</v>
      </c>
      <c r="I256" s="18">
        <v>50</v>
      </c>
      <c r="J256" t="s">
        <v>176</v>
      </c>
      <c r="K256" t="s">
        <v>618</v>
      </c>
    </row>
    <row r="257" spans="1:11" x14ac:dyDescent="0.2">
      <c r="A257" t="s">
        <v>619</v>
      </c>
      <c r="B257" s="21" t="s">
        <v>1046</v>
      </c>
      <c r="C257"/>
      <c r="D257" t="s">
        <v>399</v>
      </c>
      <c r="E257" t="s">
        <v>400</v>
      </c>
      <c r="F257" s="20"/>
      <c r="H257" s="17" t="s">
        <v>1237</v>
      </c>
      <c r="I257" s="18">
        <v>25</v>
      </c>
      <c r="J257"/>
    </row>
    <row r="258" spans="1:11" x14ac:dyDescent="0.2">
      <c r="A258" t="s">
        <v>620</v>
      </c>
      <c r="B258" s="21" t="s">
        <v>621</v>
      </c>
      <c r="C258"/>
      <c r="D258" t="s">
        <v>139</v>
      </c>
      <c r="E258" t="s">
        <v>1395</v>
      </c>
      <c r="F258" s="20"/>
      <c r="H258" s="17" t="s">
        <v>1238</v>
      </c>
      <c r="I258" s="18">
        <v>20</v>
      </c>
      <c r="J258" t="s">
        <v>622</v>
      </c>
      <c r="K258" t="s">
        <v>110</v>
      </c>
    </row>
    <row r="259" spans="1:11" x14ac:dyDescent="0.2">
      <c r="A259" t="s">
        <v>623</v>
      </c>
      <c r="B259" s="21" t="s">
        <v>175</v>
      </c>
      <c r="C259"/>
      <c r="D259" t="s">
        <v>111</v>
      </c>
      <c r="E259" t="s">
        <v>1396</v>
      </c>
      <c r="F259" s="20"/>
      <c r="H259" s="17" t="s">
        <v>1239</v>
      </c>
      <c r="I259" s="18">
        <v>42</v>
      </c>
      <c r="J259" t="s">
        <v>160</v>
      </c>
      <c r="K259" t="s">
        <v>94</v>
      </c>
    </row>
    <row r="260" spans="1:11" x14ac:dyDescent="0.2">
      <c r="A260" t="s">
        <v>624</v>
      </c>
      <c r="B260" s="21" t="s">
        <v>1047</v>
      </c>
      <c r="C260"/>
      <c r="D260" t="s">
        <v>128</v>
      </c>
      <c r="E260" t="s">
        <v>626</v>
      </c>
      <c r="F260" s="20"/>
      <c r="H260" s="17" t="s">
        <v>1240</v>
      </c>
      <c r="I260" s="18">
        <v>50</v>
      </c>
      <c r="J260" t="s">
        <v>625</v>
      </c>
      <c r="K260" t="s">
        <v>238</v>
      </c>
    </row>
    <row r="261" spans="1:11" x14ac:dyDescent="0.2">
      <c r="A261" t="s">
        <v>627</v>
      </c>
      <c r="B261" s="21" t="s">
        <v>628</v>
      </c>
      <c r="C261"/>
      <c r="D261" t="s">
        <v>111</v>
      </c>
      <c r="E261" t="s">
        <v>1397</v>
      </c>
      <c r="F261" s="20"/>
      <c r="H261" s="17" t="s">
        <v>1241</v>
      </c>
      <c r="I261" s="18">
        <v>34</v>
      </c>
      <c r="J261" t="s">
        <v>590</v>
      </c>
      <c r="K261" t="s">
        <v>94</v>
      </c>
    </row>
    <row r="262" spans="1:11" x14ac:dyDescent="0.2">
      <c r="A262" t="s">
        <v>799</v>
      </c>
      <c r="B262" s="21" t="s">
        <v>425</v>
      </c>
      <c r="C262"/>
      <c r="D262" t="s">
        <v>139</v>
      </c>
      <c r="E262" t="s">
        <v>1398</v>
      </c>
      <c r="F262" s="20"/>
      <c r="H262" s="17" t="s">
        <v>1242</v>
      </c>
      <c r="I262" s="18">
        <v>34</v>
      </c>
      <c r="J262" t="s">
        <v>114</v>
      </c>
      <c r="K262" t="s">
        <v>238</v>
      </c>
    </row>
    <row r="263" spans="1:11" x14ac:dyDescent="0.2">
      <c r="A263" t="s">
        <v>629</v>
      </c>
      <c r="B263" s="21" t="s">
        <v>630</v>
      </c>
      <c r="C263"/>
      <c r="D263" t="s">
        <v>111</v>
      </c>
      <c r="E263">
        <v>307</v>
      </c>
      <c r="F263" s="20"/>
      <c r="H263" s="17" t="s">
        <v>631</v>
      </c>
      <c r="I263" s="18"/>
      <c r="J263" t="s">
        <v>160</v>
      </c>
      <c r="K263" t="s">
        <v>94</v>
      </c>
    </row>
    <row r="264" spans="1:11" x14ac:dyDescent="0.2">
      <c r="A264" t="s">
        <v>632</v>
      </c>
      <c r="B264" s="21" t="s">
        <v>175</v>
      </c>
      <c r="C264"/>
      <c r="D264" t="s">
        <v>111</v>
      </c>
      <c r="E264" t="s">
        <v>1399</v>
      </c>
      <c r="F264" s="20"/>
      <c r="H264" s="17" t="s">
        <v>1243</v>
      </c>
      <c r="I264" s="18">
        <v>42</v>
      </c>
      <c r="J264" t="s">
        <v>308</v>
      </c>
      <c r="K264" t="s">
        <v>94</v>
      </c>
    </row>
    <row r="265" spans="1:11" x14ac:dyDescent="0.2">
      <c r="A265" t="s">
        <v>633</v>
      </c>
      <c r="B265" s="21" t="s">
        <v>175</v>
      </c>
      <c r="C265"/>
      <c r="D265" t="s">
        <v>128</v>
      </c>
      <c r="E265" t="s">
        <v>634</v>
      </c>
      <c r="F265" s="20"/>
      <c r="H265" s="17" t="s">
        <v>1244</v>
      </c>
      <c r="I265" s="18">
        <v>34</v>
      </c>
      <c r="J265" t="s">
        <v>256</v>
      </c>
      <c r="K265" t="s">
        <v>238</v>
      </c>
    </row>
    <row r="266" spans="1:11" x14ac:dyDescent="0.2">
      <c r="A266" t="s">
        <v>635</v>
      </c>
      <c r="B266" s="21" t="s">
        <v>373</v>
      </c>
      <c r="C266"/>
      <c r="D266" t="s">
        <v>73</v>
      </c>
      <c r="E266" t="s">
        <v>143</v>
      </c>
      <c r="F266" s="20"/>
      <c r="H266" s="17" t="s">
        <v>1084</v>
      </c>
      <c r="I266" s="18">
        <v>30</v>
      </c>
      <c r="J266" t="s">
        <v>142</v>
      </c>
      <c r="K266" t="s">
        <v>78</v>
      </c>
    </row>
    <row r="267" spans="1:11" x14ac:dyDescent="0.2">
      <c r="A267" t="s">
        <v>922</v>
      </c>
      <c r="B267" s="21" t="s">
        <v>910</v>
      </c>
      <c r="C267"/>
      <c r="D267" t="s">
        <v>923</v>
      </c>
      <c r="E267" t="s">
        <v>935</v>
      </c>
      <c r="F267" s="20"/>
      <c r="H267" s="17" t="s">
        <v>1245</v>
      </c>
      <c r="I267" s="18">
        <v>40</v>
      </c>
      <c r="J267" t="s">
        <v>72</v>
      </c>
      <c r="K267" t="s">
        <v>115</v>
      </c>
    </row>
    <row r="268" spans="1:11" x14ac:dyDescent="0.2">
      <c r="A268" t="s">
        <v>636</v>
      </c>
      <c r="B268" s="21" t="s">
        <v>1048</v>
      </c>
      <c r="C268"/>
      <c r="D268" t="s">
        <v>111</v>
      </c>
      <c r="E268">
        <v>308</v>
      </c>
      <c r="F268" s="20"/>
      <c r="H268" s="17" t="s">
        <v>277</v>
      </c>
      <c r="I268" s="18"/>
      <c r="J268" t="s">
        <v>637</v>
      </c>
      <c r="K268" t="s">
        <v>638</v>
      </c>
    </row>
    <row r="269" spans="1:11" x14ac:dyDescent="0.2">
      <c r="A269" t="s">
        <v>639</v>
      </c>
      <c r="B269" s="21" t="s">
        <v>640</v>
      </c>
      <c r="C269"/>
      <c r="D269" t="s">
        <v>111</v>
      </c>
      <c r="E269" t="s">
        <v>1400</v>
      </c>
      <c r="F269" s="20"/>
      <c r="H269" s="17" t="s">
        <v>1246</v>
      </c>
      <c r="I269" s="18">
        <v>34</v>
      </c>
      <c r="J269" t="s">
        <v>641</v>
      </c>
      <c r="K269" t="s">
        <v>642</v>
      </c>
    </row>
    <row r="270" spans="1:11" x14ac:dyDescent="0.2">
      <c r="A270" t="s">
        <v>643</v>
      </c>
      <c r="B270" s="21" t="s">
        <v>644</v>
      </c>
      <c r="C270"/>
      <c r="D270" t="s">
        <v>73</v>
      </c>
      <c r="E270" t="s">
        <v>645</v>
      </c>
      <c r="F270" s="20"/>
      <c r="H270" s="17" t="s">
        <v>1247</v>
      </c>
      <c r="I270" s="18">
        <v>34</v>
      </c>
      <c r="J270" t="s">
        <v>256</v>
      </c>
      <c r="K270" t="s">
        <v>130</v>
      </c>
    </row>
    <row r="271" spans="1:11" x14ac:dyDescent="0.2">
      <c r="A271" t="s">
        <v>839</v>
      </c>
      <c r="B271" s="21" t="s">
        <v>652</v>
      </c>
      <c r="C271"/>
      <c r="D271" t="s">
        <v>111</v>
      </c>
      <c r="E271" t="s">
        <v>1401</v>
      </c>
      <c r="F271" s="20"/>
      <c r="H271" s="17" t="s">
        <v>1248</v>
      </c>
      <c r="I271" s="18">
        <v>34</v>
      </c>
      <c r="J271" t="s">
        <v>114</v>
      </c>
      <c r="K271" t="s">
        <v>238</v>
      </c>
    </row>
    <row r="272" spans="1:11" x14ac:dyDescent="0.2">
      <c r="A272" t="s">
        <v>646</v>
      </c>
      <c r="B272" s="21" t="s">
        <v>1049</v>
      </c>
      <c r="C272"/>
      <c r="D272" t="s">
        <v>135</v>
      </c>
      <c r="E272" t="s">
        <v>649</v>
      </c>
      <c r="F272" s="20"/>
      <c r="H272" s="17"/>
      <c r="I272" s="18"/>
      <c r="J272" t="s">
        <v>647</v>
      </c>
      <c r="K272" t="s">
        <v>648</v>
      </c>
    </row>
    <row r="273" spans="1:11" x14ac:dyDescent="0.2">
      <c r="A273" t="s">
        <v>650</v>
      </c>
      <c r="B273" s="21" t="s">
        <v>1050</v>
      </c>
      <c r="C273"/>
      <c r="D273" t="s">
        <v>73</v>
      </c>
      <c r="E273" t="s">
        <v>1402</v>
      </c>
      <c r="F273" s="20"/>
      <c r="G273" t="s">
        <v>1631</v>
      </c>
      <c r="H273" s="17" t="s">
        <v>1991</v>
      </c>
      <c r="I273" s="18"/>
      <c r="J273" t="s">
        <v>77</v>
      </c>
      <c r="K273" t="s">
        <v>94</v>
      </c>
    </row>
    <row r="274" spans="1:11" x14ac:dyDescent="0.2">
      <c r="A274" t="s">
        <v>651</v>
      </c>
      <c r="B274" s="21" t="s">
        <v>652</v>
      </c>
      <c r="C274"/>
      <c r="D274" t="s">
        <v>654</v>
      </c>
      <c r="E274" t="s">
        <v>655</v>
      </c>
      <c r="F274" s="20"/>
      <c r="H274" s="17" t="s">
        <v>1249</v>
      </c>
      <c r="I274" s="18">
        <v>30</v>
      </c>
      <c r="J274" t="s">
        <v>653</v>
      </c>
      <c r="K274" t="s">
        <v>344</v>
      </c>
    </row>
    <row r="275" spans="1:11" x14ac:dyDescent="0.2">
      <c r="A275" t="s">
        <v>792</v>
      </c>
      <c r="B275" s="21" t="s">
        <v>1051</v>
      </c>
      <c r="C275" t="s">
        <v>2218</v>
      </c>
      <c r="D275" t="s">
        <v>139</v>
      </c>
      <c r="E275" t="s">
        <v>2220</v>
      </c>
      <c r="F275" s="20" t="s">
        <v>2219</v>
      </c>
      <c r="G275" t="s">
        <v>1453</v>
      </c>
      <c r="H275" s="17" t="s">
        <v>2221</v>
      </c>
      <c r="I275" s="18" t="s">
        <v>1834</v>
      </c>
      <c r="J275" t="s">
        <v>114</v>
      </c>
      <c r="K275" t="s">
        <v>94</v>
      </c>
    </row>
    <row r="276" spans="1:11" x14ac:dyDescent="0.2">
      <c r="A276" t="s">
        <v>656</v>
      </c>
      <c r="B276" s="21" t="s">
        <v>175</v>
      </c>
      <c r="C276"/>
      <c r="D276" t="s">
        <v>658</v>
      </c>
      <c r="E276" t="s">
        <v>659</v>
      </c>
      <c r="F276" s="20"/>
      <c r="H276" s="17" t="s">
        <v>1250</v>
      </c>
      <c r="I276" s="18">
        <v>28</v>
      </c>
      <c r="J276" t="s">
        <v>657</v>
      </c>
      <c r="K276" t="s">
        <v>93</v>
      </c>
    </row>
    <row r="277" spans="1:11" x14ac:dyDescent="0.2">
      <c r="A277" t="s">
        <v>816</v>
      </c>
      <c r="B277" s="21" t="s">
        <v>1052</v>
      </c>
      <c r="C277"/>
      <c r="D277" t="s">
        <v>111</v>
      </c>
      <c r="E277" t="s">
        <v>1404</v>
      </c>
      <c r="F277" s="20"/>
      <c r="H277" s="17" t="s">
        <v>1251</v>
      </c>
      <c r="I277" s="18">
        <v>42</v>
      </c>
      <c r="J277" t="s">
        <v>817</v>
      </c>
      <c r="K277" t="s">
        <v>818</v>
      </c>
    </row>
    <row r="278" spans="1:11" x14ac:dyDescent="0.2">
      <c r="A278" t="s">
        <v>823</v>
      </c>
      <c r="B278" s="21" t="s">
        <v>1053</v>
      </c>
      <c r="C278"/>
      <c r="D278" t="s">
        <v>228</v>
      </c>
      <c r="E278" t="s">
        <v>1405</v>
      </c>
      <c r="F278" s="20"/>
      <c r="H278" s="17" t="s">
        <v>1225</v>
      </c>
      <c r="I278" s="18">
        <v>30</v>
      </c>
      <c r="J278" t="s">
        <v>72</v>
      </c>
      <c r="K278" t="s">
        <v>82</v>
      </c>
    </row>
    <row r="279" spans="1:11" x14ac:dyDescent="0.2">
      <c r="A279" t="s">
        <v>660</v>
      </c>
      <c r="B279" s="21" t="s">
        <v>1054</v>
      </c>
      <c r="C279"/>
      <c r="D279" t="s">
        <v>139</v>
      </c>
      <c r="E279" t="s">
        <v>1406</v>
      </c>
      <c r="F279" s="20"/>
      <c r="H279" s="17" t="s">
        <v>1252</v>
      </c>
      <c r="I279" s="18">
        <v>34</v>
      </c>
      <c r="J279" t="s">
        <v>160</v>
      </c>
      <c r="K279" t="s">
        <v>94</v>
      </c>
    </row>
    <row r="280" spans="1:11" x14ac:dyDescent="0.2">
      <c r="A280" t="s">
        <v>1</v>
      </c>
      <c r="B280" s="21" t="s">
        <v>172</v>
      </c>
      <c r="C280"/>
      <c r="D280" t="s">
        <v>131</v>
      </c>
      <c r="E280" t="s">
        <v>1407</v>
      </c>
      <c r="F280" s="20"/>
      <c r="H280" s="17" t="s">
        <v>1253</v>
      </c>
      <c r="I280" s="18">
        <v>40</v>
      </c>
      <c r="J280" t="s">
        <v>130</v>
      </c>
      <c r="K280" t="s">
        <v>477</v>
      </c>
    </row>
    <row r="281" spans="1:11" x14ac:dyDescent="0.2">
      <c r="A281" t="s">
        <v>661</v>
      </c>
      <c r="B281" s="21" t="s">
        <v>662</v>
      </c>
      <c r="C281"/>
      <c r="D281" t="s">
        <v>228</v>
      </c>
      <c r="E281" t="s">
        <v>664</v>
      </c>
      <c r="F281" s="20"/>
      <c r="H281" s="17" t="s">
        <v>1254</v>
      </c>
      <c r="I281" s="18">
        <v>30</v>
      </c>
      <c r="J281">
        <v>28</v>
      </c>
      <c r="K281" t="s">
        <v>663</v>
      </c>
    </row>
    <row r="282" spans="1:11" x14ac:dyDescent="0.2">
      <c r="A282" t="s">
        <v>665</v>
      </c>
      <c r="B282" s="21" t="s">
        <v>425</v>
      </c>
      <c r="C282"/>
      <c r="D282" t="s">
        <v>111</v>
      </c>
      <c r="E282" t="s">
        <v>1408</v>
      </c>
      <c r="F282" s="20"/>
      <c r="H282" s="17" t="s">
        <v>1188</v>
      </c>
      <c r="I282" s="18">
        <v>34</v>
      </c>
      <c r="J282" t="s">
        <v>114</v>
      </c>
      <c r="K282" t="s">
        <v>238</v>
      </c>
    </row>
    <row r="283" spans="1:11" x14ac:dyDescent="0.2">
      <c r="A283" t="s">
        <v>845</v>
      </c>
      <c r="B283" s="21" t="s">
        <v>172</v>
      </c>
      <c r="C283"/>
      <c r="D283" t="s">
        <v>848</v>
      </c>
      <c r="E283" t="s">
        <v>1409</v>
      </c>
      <c r="F283" s="20"/>
      <c r="H283" s="17" t="s">
        <v>1255</v>
      </c>
      <c r="I283" s="18"/>
      <c r="J283" t="s">
        <v>846</v>
      </c>
      <c r="K283" t="s">
        <v>847</v>
      </c>
    </row>
    <row r="284" spans="1:11" x14ac:dyDescent="0.2">
      <c r="A284" t="s">
        <v>808</v>
      </c>
      <c r="B284" s="21" t="s">
        <v>425</v>
      </c>
      <c r="C284"/>
      <c r="D284" t="s">
        <v>111</v>
      </c>
      <c r="E284" t="s">
        <v>1410</v>
      </c>
      <c r="F284" s="20"/>
      <c r="H284" s="17" t="s">
        <v>1256</v>
      </c>
      <c r="I284" s="18"/>
      <c r="J284" t="s">
        <v>364</v>
      </c>
      <c r="K284" t="s">
        <v>238</v>
      </c>
    </row>
    <row r="285" spans="1:11" x14ac:dyDescent="0.2">
      <c r="A285" t="s">
        <v>666</v>
      </c>
      <c r="B285" s="21" t="s">
        <v>175</v>
      </c>
      <c r="C285"/>
      <c r="D285" t="s">
        <v>111</v>
      </c>
      <c r="E285">
        <v>308</v>
      </c>
      <c r="F285" s="20"/>
      <c r="H285" s="17" t="s">
        <v>277</v>
      </c>
      <c r="I285" s="18"/>
      <c r="J285" t="s">
        <v>590</v>
      </c>
      <c r="K285" t="s">
        <v>667</v>
      </c>
    </row>
    <row r="286" spans="1:11" x14ac:dyDescent="0.2">
      <c r="A286" t="s">
        <v>668</v>
      </c>
      <c r="B286" s="21" t="s">
        <v>908</v>
      </c>
      <c r="C286"/>
      <c r="D286" t="s">
        <v>139</v>
      </c>
      <c r="E286" t="s">
        <v>161</v>
      </c>
      <c r="F286" s="20"/>
      <c r="H286" s="17" t="s">
        <v>1257</v>
      </c>
      <c r="I286" s="18">
        <v>42</v>
      </c>
      <c r="J286" t="s">
        <v>1329</v>
      </c>
      <c r="K286" t="s">
        <v>218</v>
      </c>
    </row>
    <row r="287" spans="1:11" x14ac:dyDescent="0.2">
      <c r="A287" t="s">
        <v>809</v>
      </c>
      <c r="B287" s="21" t="s">
        <v>997</v>
      </c>
      <c r="C287"/>
      <c r="D287" t="s">
        <v>213</v>
      </c>
      <c r="E287" t="s">
        <v>1411</v>
      </c>
      <c r="F287" s="20"/>
      <c r="H287" s="17" t="s">
        <v>1258</v>
      </c>
      <c r="I287" s="18">
        <v>39</v>
      </c>
      <c r="J287" t="s">
        <v>754</v>
      </c>
      <c r="K287" t="s">
        <v>755</v>
      </c>
    </row>
    <row r="288" spans="1:11" x14ac:dyDescent="0.2">
      <c r="A288" t="s">
        <v>917</v>
      </c>
      <c r="B288" s="21" t="s">
        <v>1055</v>
      </c>
      <c r="C288"/>
      <c r="D288" t="s">
        <v>73</v>
      </c>
      <c r="E288" t="s">
        <v>930</v>
      </c>
      <c r="F288" s="20"/>
      <c r="H288" s="17" t="s">
        <v>1140</v>
      </c>
      <c r="I288" s="18">
        <v>38</v>
      </c>
      <c r="J288" t="s">
        <v>77</v>
      </c>
      <c r="K288" t="s">
        <v>94</v>
      </c>
    </row>
    <row r="289" spans="1:11" x14ac:dyDescent="0.2">
      <c r="A289" t="s">
        <v>669</v>
      </c>
      <c r="B289" s="21" t="s">
        <v>175</v>
      </c>
      <c r="C289"/>
      <c r="D289" t="s">
        <v>111</v>
      </c>
      <c r="E289" t="s">
        <v>1412</v>
      </c>
      <c r="F289" s="20"/>
      <c r="H289" s="17" t="s">
        <v>1259</v>
      </c>
      <c r="I289" s="18"/>
      <c r="J289" t="s">
        <v>256</v>
      </c>
      <c r="K289" t="s">
        <v>238</v>
      </c>
    </row>
    <row r="290" spans="1:11" x14ac:dyDescent="0.2">
      <c r="A290" t="s">
        <v>670</v>
      </c>
      <c r="B290" s="21" t="s">
        <v>671</v>
      </c>
      <c r="C290"/>
      <c r="D290" t="s">
        <v>111</v>
      </c>
      <c r="E290" t="s">
        <v>1413</v>
      </c>
      <c r="F290" s="20"/>
      <c r="H290" s="17" t="s">
        <v>1260</v>
      </c>
      <c r="I290" s="18">
        <v>34</v>
      </c>
      <c r="J290" t="s">
        <v>256</v>
      </c>
      <c r="K290" t="s">
        <v>238</v>
      </c>
    </row>
    <row r="291" spans="1:11" x14ac:dyDescent="0.2">
      <c r="A291" t="s">
        <v>840</v>
      </c>
      <c r="B291" s="21" t="s">
        <v>172</v>
      </c>
      <c r="C291"/>
      <c r="D291" t="s">
        <v>120</v>
      </c>
      <c r="E291" t="s">
        <v>1414</v>
      </c>
      <c r="F291" s="20"/>
      <c r="H291" s="17" t="s">
        <v>1261</v>
      </c>
      <c r="I291" s="18">
        <v>30</v>
      </c>
      <c r="J291" t="s">
        <v>841</v>
      </c>
      <c r="K291" t="s">
        <v>82</v>
      </c>
    </row>
    <row r="292" spans="1:11" x14ac:dyDescent="0.2">
      <c r="A292" t="s">
        <v>672</v>
      </c>
      <c r="B292" s="21" t="s">
        <v>673</v>
      </c>
      <c r="C292"/>
      <c r="D292" t="s">
        <v>676</v>
      </c>
      <c r="E292" t="s">
        <v>1415</v>
      </c>
      <c r="F292" s="20"/>
      <c r="H292" s="17" t="s">
        <v>1262</v>
      </c>
      <c r="I292" s="18">
        <v>38</v>
      </c>
      <c r="J292" t="s">
        <v>674</v>
      </c>
      <c r="K292" t="s">
        <v>675</v>
      </c>
    </row>
    <row r="293" spans="1:11" x14ac:dyDescent="0.2">
      <c r="A293" t="s">
        <v>798</v>
      </c>
      <c r="B293" s="21" t="s">
        <v>652</v>
      </c>
      <c r="C293"/>
      <c r="D293" t="s">
        <v>111</v>
      </c>
      <c r="E293" t="s">
        <v>1416</v>
      </c>
      <c r="F293" s="20"/>
      <c r="H293" s="17" t="s">
        <v>1263</v>
      </c>
      <c r="I293" s="18">
        <v>30</v>
      </c>
      <c r="J293" t="s">
        <v>348</v>
      </c>
      <c r="K293" t="s">
        <v>78</v>
      </c>
    </row>
    <row r="294" spans="1:11" x14ac:dyDescent="0.2">
      <c r="A294" t="s">
        <v>677</v>
      </c>
      <c r="B294" s="21" t="s">
        <v>678</v>
      </c>
      <c r="C294"/>
      <c r="D294" t="s">
        <v>128</v>
      </c>
      <c r="E294" t="s">
        <v>336</v>
      </c>
      <c r="F294" s="20"/>
      <c r="H294" s="17" t="s">
        <v>1118</v>
      </c>
      <c r="I294" s="18">
        <v>20</v>
      </c>
      <c r="J294" t="s">
        <v>371</v>
      </c>
      <c r="K294" t="s">
        <v>78</v>
      </c>
    </row>
    <row r="295" spans="1:11" x14ac:dyDescent="0.2">
      <c r="A295" t="s">
        <v>679</v>
      </c>
      <c r="B295" s="21" t="s">
        <v>680</v>
      </c>
      <c r="C295"/>
      <c r="D295" t="s">
        <v>120</v>
      </c>
      <c r="E295" t="s">
        <v>880</v>
      </c>
      <c r="F295" s="20"/>
      <c r="H295" s="17" t="s">
        <v>1264</v>
      </c>
      <c r="I295" s="18"/>
      <c r="J295" t="s">
        <v>681</v>
      </c>
      <c r="K295" t="s">
        <v>682</v>
      </c>
    </row>
    <row r="296" spans="1:11" x14ac:dyDescent="0.2">
      <c r="A296" t="s">
        <v>683</v>
      </c>
      <c r="B296" s="21" t="s">
        <v>175</v>
      </c>
      <c r="C296"/>
      <c r="D296" t="s">
        <v>128</v>
      </c>
      <c r="E296" t="s">
        <v>1417</v>
      </c>
      <c r="F296" s="20"/>
      <c r="H296" s="17" t="s">
        <v>1265</v>
      </c>
      <c r="I296" s="18">
        <v>50</v>
      </c>
      <c r="J296" t="s">
        <v>204</v>
      </c>
      <c r="K296" t="s">
        <v>78</v>
      </c>
    </row>
    <row r="297" spans="1:11" x14ac:dyDescent="0.2">
      <c r="A297" t="s">
        <v>857</v>
      </c>
      <c r="B297" s="21" t="s">
        <v>858</v>
      </c>
      <c r="C297"/>
      <c r="D297" t="s">
        <v>139</v>
      </c>
      <c r="E297" t="s">
        <v>1418</v>
      </c>
      <c r="F297" s="20"/>
      <c r="H297" s="17" t="s">
        <v>1266</v>
      </c>
      <c r="I297" s="18">
        <v>42</v>
      </c>
      <c r="J297" t="s">
        <v>160</v>
      </c>
      <c r="K297" t="s">
        <v>834</v>
      </c>
    </row>
    <row r="298" spans="1:11" x14ac:dyDescent="0.2">
      <c r="A298" t="s">
        <v>684</v>
      </c>
      <c r="B298" s="21" t="s">
        <v>538</v>
      </c>
      <c r="C298"/>
      <c r="D298" t="s">
        <v>120</v>
      </c>
      <c r="E298" t="s">
        <v>319</v>
      </c>
      <c r="F298" s="20"/>
      <c r="H298" s="17" t="s">
        <v>1267</v>
      </c>
      <c r="I298" s="18">
        <v>30</v>
      </c>
      <c r="J298" t="s">
        <v>685</v>
      </c>
      <c r="K298" t="s">
        <v>82</v>
      </c>
    </row>
    <row r="299" spans="1:11" x14ac:dyDescent="0.2">
      <c r="A299" t="s">
        <v>686</v>
      </c>
      <c r="B299" s="21" t="s">
        <v>687</v>
      </c>
      <c r="C299"/>
      <c r="D299" t="s">
        <v>213</v>
      </c>
      <c r="E299" t="s">
        <v>1419</v>
      </c>
      <c r="F299" s="20"/>
      <c r="H299" s="17" t="s">
        <v>1268</v>
      </c>
      <c r="I299" s="18" t="s">
        <v>1446</v>
      </c>
      <c r="J299" t="s">
        <v>72</v>
      </c>
      <c r="K299" t="s">
        <v>78</v>
      </c>
    </row>
    <row r="300" spans="1:11" x14ac:dyDescent="0.2">
      <c r="A300" t="s">
        <v>829</v>
      </c>
      <c r="B300" s="21" t="s">
        <v>1056</v>
      </c>
      <c r="C300"/>
      <c r="D300" t="s">
        <v>128</v>
      </c>
      <c r="E300" t="s">
        <v>1420</v>
      </c>
      <c r="F300" s="20"/>
      <c r="H300" s="17" t="s">
        <v>1269</v>
      </c>
      <c r="I300" s="18">
        <v>25</v>
      </c>
      <c r="J300" t="s">
        <v>830</v>
      </c>
      <c r="K300" t="s">
        <v>831</v>
      </c>
    </row>
    <row r="301" spans="1:11" x14ac:dyDescent="0.2">
      <c r="A301" t="s">
        <v>988</v>
      </c>
      <c r="B301" s="21" t="s">
        <v>688</v>
      </c>
      <c r="C301"/>
      <c r="D301" t="s">
        <v>139</v>
      </c>
      <c r="E301" t="s">
        <v>432</v>
      </c>
      <c r="F301" s="20"/>
      <c r="H301" s="17" t="s">
        <v>1270</v>
      </c>
      <c r="I301" s="18">
        <v>30</v>
      </c>
      <c r="J301">
        <v>26</v>
      </c>
      <c r="K301">
        <v>10</v>
      </c>
    </row>
    <row r="302" spans="1:11" x14ac:dyDescent="0.2">
      <c r="A302" t="s">
        <v>689</v>
      </c>
      <c r="B302" s="21" t="s">
        <v>172</v>
      </c>
      <c r="C302"/>
      <c r="D302" t="s">
        <v>111</v>
      </c>
      <c r="E302">
        <v>3008</v>
      </c>
      <c r="F302" s="20"/>
      <c r="H302" s="17" t="s">
        <v>690</v>
      </c>
      <c r="I302" s="18"/>
      <c r="J302" t="s">
        <v>364</v>
      </c>
      <c r="K302" t="s">
        <v>238</v>
      </c>
    </row>
    <row r="303" spans="1:11" x14ac:dyDescent="0.2">
      <c r="A303" t="s">
        <v>691</v>
      </c>
      <c r="B303" s="21" t="s">
        <v>172</v>
      </c>
      <c r="C303"/>
      <c r="D303" t="s">
        <v>389</v>
      </c>
      <c r="E303">
        <v>208</v>
      </c>
      <c r="F303" s="20"/>
      <c r="H303" s="17" t="s">
        <v>1271</v>
      </c>
      <c r="I303" s="18">
        <v>34</v>
      </c>
      <c r="J303" t="s">
        <v>285</v>
      </c>
      <c r="K303" t="s">
        <v>110</v>
      </c>
    </row>
    <row r="304" spans="1:11" x14ac:dyDescent="0.2">
      <c r="A304" t="s">
        <v>692</v>
      </c>
      <c r="B304" s="21" t="s">
        <v>175</v>
      </c>
      <c r="C304"/>
      <c r="D304" t="s">
        <v>128</v>
      </c>
      <c r="E304" t="s">
        <v>1421</v>
      </c>
      <c r="F304" s="20"/>
      <c r="H304" s="17" t="s">
        <v>1272</v>
      </c>
      <c r="I304" s="18"/>
      <c r="J304" t="s">
        <v>176</v>
      </c>
      <c r="K304" t="s">
        <v>693</v>
      </c>
    </row>
    <row r="305" spans="1:11" x14ac:dyDescent="0.2">
      <c r="A305" t="s">
        <v>694</v>
      </c>
      <c r="B305" s="21" t="s">
        <v>1057</v>
      </c>
      <c r="C305"/>
      <c r="D305" t="s">
        <v>213</v>
      </c>
      <c r="E305" t="s">
        <v>1422</v>
      </c>
      <c r="F305" s="20"/>
      <c r="H305" s="17" t="s">
        <v>1273</v>
      </c>
      <c r="I305" s="18">
        <v>25</v>
      </c>
      <c r="J305" t="s">
        <v>93</v>
      </c>
      <c r="K305" t="s">
        <v>78</v>
      </c>
    </row>
    <row r="306" spans="1:11" x14ac:dyDescent="0.2">
      <c r="A306" t="s">
        <v>695</v>
      </c>
      <c r="B306" s="21" t="s">
        <v>175</v>
      </c>
      <c r="C306"/>
      <c r="D306" t="s">
        <v>111</v>
      </c>
      <c r="E306">
        <v>208</v>
      </c>
      <c r="F306" s="20"/>
      <c r="H306" s="17" t="s">
        <v>690</v>
      </c>
      <c r="I306" s="18"/>
      <c r="J306" t="s">
        <v>696</v>
      </c>
      <c r="K306" t="s">
        <v>94</v>
      </c>
    </row>
    <row r="307" spans="1:11" x14ac:dyDescent="0.2">
      <c r="A307" t="s">
        <v>697</v>
      </c>
      <c r="B307" s="21" t="s">
        <v>175</v>
      </c>
      <c r="C307"/>
      <c r="D307" t="s">
        <v>111</v>
      </c>
      <c r="E307">
        <v>3008</v>
      </c>
      <c r="F307" s="20"/>
      <c r="H307" s="17" t="s">
        <v>1274</v>
      </c>
      <c r="I307" s="18"/>
      <c r="J307" t="s">
        <v>364</v>
      </c>
      <c r="K307" t="s">
        <v>238</v>
      </c>
    </row>
    <row r="308" spans="1:11" x14ac:dyDescent="0.2">
      <c r="A308" t="s">
        <v>698</v>
      </c>
      <c r="B308" s="21" t="s">
        <v>175</v>
      </c>
      <c r="C308"/>
      <c r="D308" t="s">
        <v>111</v>
      </c>
      <c r="E308">
        <v>208</v>
      </c>
      <c r="F308" s="20"/>
      <c r="H308" s="17" t="s">
        <v>1104</v>
      </c>
      <c r="I308" s="18">
        <v>34</v>
      </c>
      <c r="J308" t="s">
        <v>308</v>
      </c>
      <c r="K308" t="s">
        <v>94</v>
      </c>
    </row>
    <row r="309" spans="1:11" x14ac:dyDescent="0.2">
      <c r="A309" t="s">
        <v>699</v>
      </c>
      <c r="B309" s="21" t="s">
        <v>175</v>
      </c>
      <c r="C309"/>
      <c r="D309" t="s">
        <v>111</v>
      </c>
      <c r="E309">
        <v>208</v>
      </c>
      <c r="F309" s="20"/>
      <c r="H309" s="17" t="s">
        <v>1275</v>
      </c>
      <c r="I309" s="18">
        <v>42</v>
      </c>
      <c r="J309" t="s">
        <v>428</v>
      </c>
      <c r="K309" t="s">
        <v>94</v>
      </c>
    </row>
    <row r="310" spans="1:11" x14ac:dyDescent="0.2">
      <c r="A310" t="s">
        <v>700</v>
      </c>
      <c r="B310" s="21" t="s">
        <v>270</v>
      </c>
      <c r="C310"/>
      <c r="D310" t="s">
        <v>135</v>
      </c>
      <c r="E310" t="s">
        <v>701</v>
      </c>
      <c r="F310" s="20"/>
      <c r="H310" s="17" t="s">
        <v>1276</v>
      </c>
      <c r="I310" s="18">
        <v>30</v>
      </c>
      <c r="J310">
        <v>25</v>
      </c>
      <c r="K310">
        <v>14</v>
      </c>
    </row>
    <row r="311" spans="1:11" x14ac:dyDescent="0.2">
      <c r="A311" t="s">
        <v>911</v>
      </c>
      <c r="B311" s="21" t="s">
        <v>172</v>
      </c>
      <c r="C311"/>
      <c r="D311" t="s">
        <v>128</v>
      </c>
      <c r="E311" t="s">
        <v>924</v>
      </c>
      <c r="F311" s="20"/>
      <c r="H311" s="17" t="s">
        <v>1277</v>
      </c>
      <c r="I311" s="18">
        <v>50</v>
      </c>
      <c r="J311" t="s">
        <v>341</v>
      </c>
      <c r="K311" t="s">
        <v>78</v>
      </c>
    </row>
    <row r="312" spans="1:11" x14ac:dyDescent="0.2">
      <c r="A312" t="s">
        <v>702</v>
      </c>
      <c r="B312" s="21" t="s">
        <v>172</v>
      </c>
      <c r="C312"/>
      <c r="D312" t="s">
        <v>111</v>
      </c>
      <c r="E312">
        <v>208</v>
      </c>
      <c r="F312" s="20"/>
      <c r="H312" s="17" t="s">
        <v>1278</v>
      </c>
      <c r="I312" s="18"/>
      <c r="J312" t="s">
        <v>590</v>
      </c>
      <c r="K312" t="s">
        <v>94</v>
      </c>
    </row>
    <row r="313" spans="1:11" x14ac:dyDescent="0.2">
      <c r="A313" t="s">
        <v>822</v>
      </c>
      <c r="B313" s="21" t="s">
        <v>172</v>
      </c>
      <c r="C313"/>
      <c r="D313" t="s">
        <v>213</v>
      </c>
      <c r="E313" t="s">
        <v>1423</v>
      </c>
      <c r="F313" s="20"/>
      <c r="H313" s="17" t="s">
        <v>1279</v>
      </c>
      <c r="I313" s="18"/>
      <c r="J313" t="s">
        <v>81</v>
      </c>
      <c r="K313" t="s">
        <v>78</v>
      </c>
    </row>
    <row r="314" spans="1:11" x14ac:dyDescent="0.2">
      <c r="A314" t="s">
        <v>703</v>
      </c>
      <c r="B314" s="21" t="s">
        <v>704</v>
      </c>
      <c r="C314"/>
      <c r="D314" t="s">
        <v>128</v>
      </c>
      <c r="E314" t="s">
        <v>706</v>
      </c>
      <c r="F314" s="20"/>
      <c r="H314" s="17" t="s">
        <v>1280</v>
      </c>
      <c r="I314" s="18">
        <v>20</v>
      </c>
      <c r="J314" t="s">
        <v>371</v>
      </c>
      <c r="K314" t="s">
        <v>705</v>
      </c>
    </row>
    <row r="315" spans="1:11" x14ac:dyDescent="0.2">
      <c r="A315" t="s">
        <v>813</v>
      </c>
      <c r="B315" s="21" t="s">
        <v>175</v>
      </c>
      <c r="C315"/>
      <c r="D315" t="s">
        <v>128</v>
      </c>
      <c r="E315" t="s">
        <v>1424</v>
      </c>
      <c r="F315" s="20"/>
      <c r="H315" s="17" t="s">
        <v>1281</v>
      </c>
      <c r="I315" s="18">
        <v>25</v>
      </c>
      <c r="J315" t="s">
        <v>796</v>
      </c>
      <c r="K315" t="s">
        <v>675</v>
      </c>
    </row>
    <row r="316" spans="1:11" x14ac:dyDescent="0.2">
      <c r="A316" t="s">
        <v>707</v>
      </c>
      <c r="B316" s="21" t="s">
        <v>1017</v>
      </c>
      <c r="C316"/>
      <c r="D316" t="s">
        <v>111</v>
      </c>
      <c r="E316">
        <v>308</v>
      </c>
      <c r="F316" s="20"/>
      <c r="H316" s="17" t="s">
        <v>1282</v>
      </c>
      <c r="I316" s="18">
        <v>42</v>
      </c>
      <c r="J316" t="s">
        <v>708</v>
      </c>
      <c r="K316" t="s">
        <v>709</v>
      </c>
    </row>
    <row r="317" spans="1:11" x14ac:dyDescent="0.2">
      <c r="A317" t="s">
        <v>710</v>
      </c>
      <c r="B317" s="21" t="s">
        <v>172</v>
      </c>
      <c r="C317"/>
      <c r="D317" t="s">
        <v>111</v>
      </c>
      <c r="E317">
        <v>308</v>
      </c>
      <c r="F317" s="20"/>
      <c r="H317" s="17" t="s">
        <v>1283</v>
      </c>
      <c r="I317" s="18">
        <v>42</v>
      </c>
      <c r="J317" t="s">
        <v>711</v>
      </c>
      <c r="K317" t="s">
        <v>712</v>
      </c>
    </row>
    <row r="318" spans="1:11" x14ac:dyDescent="0.2">
      <c r="A318" t="s">
        <v>921</v>
      </c>
      <c r="B318" s="21" t="s">
        <v>76</v>
      </c>
      <c r="C318"/>
      <c r="D318" t="s">
        <v>128</v>
      </c>
      <c r="E318" t="s">
        <v>934</v>
      </c>
      <c r="F318" s="20"/>
      <c r="H318" s="17" t="s">
        <v>1284</v>
      </c>
      <c r="I318" s="18">
        <v>25</v>
      </c>
      <c r="J318" t="s">
        <v>357</v>
      </c>
      <c r="K318" t="s">
        <v>218</v>
      </c>
    </row>
    <row r="319" spans="1:11" x14ac:dyDescent="0.2">
      <c r="A319" t="s">
        <v>713</v>
      </c>
      <c r="B319" s="21" t="s">
        <v>714</v>
      </c>
      <c r="C319"/>
      <c r="D319" t="s">
        <v>128</v>
      </c>
      <c r="E319" t="s">
        <v>1425</v>
      </c>
      <c r="F319" s="20"/>
      <c r="H319" s="17" t="s">
        <v>1285</v>
      </c>
      <c r="I319" s="18">
        <v>25</v>
      </c>
      <c r="J319" t="s">
        <v>114</v>
      </c>
      <c r="K319" t="s">
        <v>158</v>
      </c>
    </row>
    <row r="320" spans="1:11" x14ac:dyDescent="0.2">
      <c r="A320" t="s">
        <v>715</v>
      </c>
      <c r="B320" s="21" t="s">
        <v>1019</v>
      </c>
      <c r="C320"/>
      <c r="D320" t="s">
        <v>139</v>
      </c>
      <c r="E320" t="s">
        <v>716</v>
      </c>
      <c r="F320" s="20"/>
      <c r="H320" s="17" t="s">
        <v>1286</v>
      </c>
      <c r="I320" s="18">
        <v>34</v>
      </c>
      <c r="J320" t="s">
        <v>256</v>
      </c>
      <c r="K320" t="s">
        <v>238</v>
      </c>
    </row>
    <row r="321" spans="1:11" x14ac:dyDescent="0.2">
      <c r="A321" t="s">
        <v>717</v>
      </c>
      <c r="B321" s="21" t="s">
        <v>175</v>
      </c>
      <c r="C321"/>
      <c r="D321" t="s">
        <v>139</v>
      </c>
      <c r="E321" t="s">
        <v>1426</v>
      </c>
      <c r="F321" s="20"/>
      <c r="H321" s="17" t="s">
        <v>1287</v>
      </c>
      <c r="I321" s="18">
        <v>42</v>
      </c>
      <c r="J321" t="s">
        <v>160</v>
      </c>
      <c r="K321" t="s">
        <v>94</v>
      </c>
    </row>
    <row r="322" spans="1:11" x14ac:dyDescent="0.2">
      <c r="A322" t="s">
        <v>989</v>
      </c>
      <c r="B322" s="21" t="s">
        <v>1013</v>
      </c>
      <c r="C322"/>
      <c r="D322" t="s">
        <v>139</v>
      </c>
      <c r="E322" t="s">
        <v>1427</v>
      </c>
      <c r="F322" s="20"/>
      <c r="H322" s="17" t="s">
        <v>1288</v>
      </c>
      <c r="I322" s="18"/>
      <c r="J322" t="s">
        <v>1330</v>
      </c>
      <c r="K322" t="s">
        <v>94</v>
      </c>
    </row>
    <row r="323" spans="1:11" x14ac:dyDescent="0.2">
      <c r="A323" t="s">
        <v>718</v>
      </c>
      <c r="B323" s="21" t="s">
        <v>175</v>
      </c>
      <c r="C323"/>
      <c r="D323" t="s">
        <v>139</v>
      </c>
      <c r="E323" t="s">
        <v>549</v>
      </c>
      <c r="F323" s="20"/>
      <c r="H323" s="17" t="s">
        <v>1289</v>
      </c>
      <c r="I323" s="18">
        <v>42</v>
      </c>
      <c r="J323" t="s">
        <v>719</v>
      </c>
      <c r="K323" t="s">
        <v>94</v>
      </c>
    </row>
    <row r="324" spans="1:11" x14ac:dyDescent="0.2">
      <c r="A324" t="s">
        <v>720</v>
      </c>
      <c r="B324" s="21" t="s">
        <v>175</v>
      </c>
      <c r="C324"/>
      <c r="D324" t="s">
        <v>139</v>
      </c>
      <c r="E324" t="s">
        <v>1428</v>
      </c>
      <c r="F324" s="20"/>
      <c r="H324" s="17" t="s">
        <v>1290</v>
      </c>
      <c r="I324" s="18">
        <v>42</v>
      </c>
      <c r="J324" t="s">
        <v>590</v>
      </c>
      <c r="K324" t="s">
        <v>78</v>
      </c>
    </row>
    <row r="325" spans="1:11" x14ac:dyDescent="0.2">
      <c r="A325" t="s">
        <v>721</v>
      </c>
      <c r="B325" s="21" t="s">
        <v>175</v>
      </c>
      <c r="C325"/>
      <c r="D325" t="s">
        <v>128</v>
      </c>
      <c r="E325" t="s">
        <v>150</v>
      </c>
      <c r="F325" s="20"/>
      <c r="H325" s="17" t="s">
        <v>1291</v>
      </c>
      <c r="I325" s="18">
        <v>25</v>
      </c>
      <c r="J325" t="s">
        <v>341</v>
      </c>
      <c r="K325" t="s">
        <v>94</v>
      </c>
    </row>
    <row r="326" spans="1:11" x14ac:dyDescent="0.2">
      <c r="A326" t="s">
        <v>795</v>
      </c>
      <c r="B326" s="21" t="s">
        <v>1052</v>
      </c>
      <c r="C326"/>
      <c r="D326" t="s">
        <v>128</v>
      </c>
      <c r="E326" t="s">
        <v>1429</v>
      </c>
      <c r="F326" s="20"/>
      <c r="H326" s="17" t="s">
        <v>1292</v>
      </c>
      <c r="I326" s="18">
        <v>25</v>
      </c>
      <c r="J326" t="s">
        <v>796</v>
      </c>
      <c r="K326" t="s">
        <v>675</v>
      </c>
    </row>
    <row r="327" spans="1:11" x14ac:dyDescent="0.2">
      <c r="A327" t="s">
        <v>722</v>
      </c>
      <c r="B327" s="21" t="s">
        <v>1058</v>
      </c>
      <c r="C327"/>
      <c r="D327" t="s">
        <v>213</v>
      </c>
      <c r="E327" t="s">
        <v>723</v>
      </c>
      <c r="F327" s="20"/>
      <c r="H327" s="17" t="s">
        <v>503</v>
      </c>
      <c r="I327" s="18">
        <v>25</v>
      </c>
      <c r="J327" t="s">
        <v>81</v>
      </c>
      <c r="K327" t="s">
        <v>115</v>
      </c>
    </row>
    <row r="328" spans="1:11" x14ac:dyDescent="0.2">
      <c r="A328" t="s">
        <v>724</v>
      </c>
      <c r="B328" s="21" t="s">
        <v>175</v>
      </c>
      <c r="C328"/>
      <c r="D328" t="s">
        <v>111</v>
      </c>
      <c r="E328">
        <v>208</v>
      </c>
      <c r="F328" s="20"/>
      <c r="H328" s="17" t="s">
        <v>1293</v>
      </c>
      <c r="I328" s="18">
        <v>42</v>
      </c>
      <c r="J328" t="s">
        <v>725</v>
      </c>
      <c r="K328" t="s">
        <v>218</v>
      </c>
    </row>
    <row r="329" spans="1:11" x14ac:dyDescent="0.2">
      <c r="A329" t="s">
        <v>990</v>
      </c>
      <c r="B329" s="21" t="s">
        <v>175</v>
      </c>
      <c r="C329"/>
      <c r="D329" t="s">
        <v>128</v>
      </c>
      <c r="E329" t="s">
        <v>150</v>
      </c>
      <c r="F329" s="20"/>
      <c r="H329" s="17" t="s">
        <v>503</v>
      </c>
      <c r="I329" s="18">
        <v>25</v>
      </c>
      <c r="J329" t="s">
        <v>341</v>
      </c>
      <c r="K329" t="s">
        <v>94</v>
      </c>
    </row>
    <row r="330" spans="1:11" x14ac:dyDescent="0.2">
      <c r="A330" t="s">
        <v>726</v>
      </c>
      <c r="B330" s="21" t="s">
        <v>1017</v>
      </c>
      <c r="C330"/>
      <c r="D330" t="s">
        <v>1340</v>
      </c>
      <c r="E330" t="s">
        <v>1430</v>
      </c>
      <c r="F330" s="20"/>
      <c r="H330" s="17" t="s">
        <v>1294</v>
      </c>
      <c r="I330" s="18">
        <v>42</v>
      </c>
      <c r="J330" t="s">
        <v>1331</v>
      </c>
      <c r="K330" t="s">
        <v>1331</v>
      </c>
    </row>
    <row r="331" spans="1:11" x14ac:dyDescent="0.2">
      <c r="A331" t="s">
        <v>853</v>
      </c>
      <c r="B331" s="21" t="s">
        <v>172</v>
      </c>
      <c r="C331"/>
      <c r="D331" t="s">
        <v>128</v>
      </c>
      <c r="E331" t="s">
        <v>1431</v>
      </c>
      <c r="F331" s="20"/>
      <c r="H331" s="17" t="s">
        <v>1295</v>
      </c>
      <c r="I331" s="18">
        <v>20</v>
      </c>
      <c r="J331" t="s">
        <v>854</v>
      </c>
      <c r="K331" t="s">
        <v>78</v>
      </c>
    </row>
    <row r="332" spans="1:11" x14ac:dyDescent="0.2">
      <c r="A332" t="s">
        <v>727</v>
      </c>
      <c r="B332" s="21" t="s">
        <v>402</v>
      </c>
      <c r="C332"/>
      <c r="D332" t="s">
        <v>139</v>
      </c>
      <c r="E332" t="s">
        <v>403</v>
      </c>
      <c r="F332" s="89">
        <v>43732</v>
      </c>
      <c r="G332" s="21" t="s">
        <v>1704</v>
      </c>
      <c r="H332" s="90" t="s">
        <v>2064</v>
      </c>
      <c r="I332" s="92" t="s">
        <v>2065</v>
      </c>
      <c r="J332"/>
      <c r="K332" s="21" t="s">
        <v>441</v>
      </c>
    </row>
    <row r="333" spans="1:11" x14ac:dyDescent="0.2">
      <c r="A333" t="s">
        <v>728</v>
      </c>
      <c r="B333" s="21" t="s">
        <v>175</v>
      </c>
      <c r="C333"/>
      <c r="D333" t="s">
        <v>111</v>
      </c>
      <c r="E333" t="s">
        <v>384</v>
      </c>
      <c r="F333" s="20"/>
      <c r="H333" s="17" t="s">
        <v>1104</v>
      </c>
      <c r="I333" s="18">
        <v>34</v>
      </c>
      <c r="J333" t="s">
        <v>256</v>
      </c>
      <c r="K333" t="s">
        <v>238</v>
      </c>
    </row>
    <row r="334" spans="1:11" x14ac:dyDescent="0.2">
      <c r="A334" t="s">
        <v>729</v>
      </c>
      <c r="B334" s="21" t="s">
        <v>704</v>
      </c>
      <c r="C334"/>
      <c r="D334" t="s">
        <v>111</v>
      </c>
      <c r="E334">
        <v>208</v>
      </c>
      <c r="F334" s="20"/>
      <c r="H334" s="17" t="s">
        <v>1296</v>
      </c>
      <c r="I334" s="18">
        <v>34</v>
      </c>
      <c r="J334" t="s">
        <v>285</v>
      </c>
      <c r="K334" t="s">
        <v>78</v>
      </c>
    </row>
    <row r="335" spans="1:11" x14ac:dyDescent="0.2">
      <c r="A335" t="s">
        <v>730</v>
      </c>
      <c r="B335" s="21"/>
      <c r="C335"/>
      <c r="D335" t="s">
        <v>232</v>
      </c>
      <c r="E335" t="s">
        <v>1432</v>
      </c>
      <c r="F335" s="20"/>
      <c r="H335" s="17" t="s">
        <v>1297</v>
      </c>
      <c r="I335" s="18"/>
      <c r="J335" t="s">
        <v>200</v>
      </c>
      <c r="K335" t="s">
        <v>731</v>
      </c>
    </row>
    <row r="336" spans="1:11" x14ac:dyDescent="0.2">
      <c r="A336" t="s">
        <v>732</v>
      </c>
      <c r="B336" s="21" t="s">
        <v>270</v>
      </c>
      <c r="C336"/>
      <c r="D336" t="s">
        <v>135</v>
      </c>
      <c r="E336" t="s">
        <v>735</v>
      </c>
      <c r="F336" s="20"/>
      <c r="H336" s="17" t="s">
        <v>1298</v>
      </c>
      <c r="I336" s="18">
        <v>30</v>
      </c>
      <c r="J336" t="s">
        <v>733</v>
      </c>
      <c r="K336" t="s">
        <v>734</v>
      </c>
    </row>
    <row r="337" spans="1:11" x14ac:dyDescent="0.2">
      <c r="A337" t="s">
        <v>736</v>
      </c>
      <c r="B337" s="21" t="s">
        <v>76</v>
      </c>
      <c r="C337"/>
      <c r="D337" t="s">
        <v>131</v>
      </c>
      <c r="E337" t="s">
        <v>1433</v>
      </c>
      <c r="F337" s="20"/>
      <c r="H337" s="17" t="s">
        <v>1299</v>
      </c>
      <c r="I337" s="18">
        <v>40</v>
      </c>
      <c r="J337" t="s">
        <v>737</v>
      </c>
      <c r="K337" t="s">
        <v>477</v>
      </c>
    </row>
    <row r="338" spans="1:11" x14ac:dyDescent="0.2">
      <c r="A338" t="s">
        <v>991</v>
      </c>
      <c r="B338" s="21" t="s">
        <v>1059</v>
      </c>
      <c r="C338"/>
      <c r="F338" s="20"/>
      <c r="H338" s="17" t="s">
        <v>690</v>
      </c>
      <c r="I338" s="18"/>
      <c r="J338" t="s">
        <v>738</v>
      </c>
      <c r="K338" t="s">
        <v>94</v>
      </c>
    </row>
    <row r="339" spans="1:11" x14ac:dyDescent="0.2">
      <c r="A339" t="s">
        <v>914</v>
      </c>
      <c r="B339" s="21" t="s">
        <v>954</v>
      </c>
      <c r="C339"/>
      <c r="D339" t="s">
        <v>120</v>
      </c>
      <c r="E339" t="s">
        <v>927</v>
      </c>
      <c r="F339" s="20"/>
      <c r="H339" s="17" t="s">
        <v>1225</v>
      </c>
      <c r="I339" s="18">
        <v>30</v>
      </c>
      <c r="J339" t="s">
        <v>81</v>
      </c>
      <c r="K339" t="s">
        <v>94</v>
      </c>
    </row>
    <row r="340" spans="1:11" x14ac:dyDescent="0.2">
      <c r="A340" t="s">
        <v>739</v>
      </c>
      <c r="B340" s="21" t="s">
        <v>175</v>
      </c>
      <c r="C340"/>
      <c r="D340" t="s">
        <v>213</v>
      </c>
      <c r="E340" t="s">
        <v>481</v>
      </c>
      <c r="F340" s="20"/>
      <c r="H340" s="17"/>
      <c r="I340" s="18"/>
      <c r="J340" t="s">
        <v>72</v>
      </c>
      <c r="K340" t="s">
        <v>115</v>
      </c>
    </row>
    <row r="341" spans="1:11" x14ac:dyDescent="0.2">
      <c r="A341" t="s">
        <v>740</v>
      </c>
      <c r="B341" s="21" t="s">
        <v>741</v>
      </c>
      <c r="C341"/>
      <c r="D341" t="s">
        <v>120</v>
      </c>
      <c r="E341" t="s">
        <v>1434</v>
      </c>
      <c r="F341" s="20"/>
      <c r="H341" s="17" t="s">
        <v>1300</v>
      </c>
      <c r="I341" s="18">
        <v>30</v>
      </c>
      <c r="J341" t="s">
        <v>742</v>
      </c>
      <c r="K341" t="s">
        <v>78</v>
      </c>
    </row>
    <row r="342" spans="1:11" x14ac:dyDescent="0.2">
      <c r="A342" t="s">
        <v>743</v>
      </c>
      <c r="B342" s="21" t="s">
        <v>744</v>
      </c>
      <c r="C342"/>
      <c r="D342" t="s">
        <v>128</v>
      </c>
      <c r="E342" t="s">
        <v>150</v>
      </c>
      <c r="F342" s="20"/>
      <c r="H342" s="17" t="s">
        <v>1301</v>
      </c>
      <c r="I342" s="18"/>
      <c r="J342">
        <v>17.600000000000001</v>
      </c>
      <c r="K342" t="s">
        <v>78</v>
      </c>
    </row>
    <row r="343" spans="1:11" x14ac:dyDescent="0.2">
      <c r="A343" t="s">
        <v>745</v>
      </c>
      <c r="B343" s="21" t="s">
        <v>746</v>
      </c>
      <c r="C343"/>
      <c r="D343" t="s">
        <v>73</v>
      </c>
      <c r="E343" t="s">
        <v>748</v>
      </c>
      <c r="F343" s="20"/>
      <c r="H343" s="17" t="s">
        <v>1302</v>
      </c>
      <c r="I343" s="18"/>
      <c r="J343" t="s">
        <v>256</v>
      </c>
      <c r="K343" t="s">
        <v>747</v>
      </c>
    </row>
    <row r="344" spans="1:11" x14ac:dyDescent="0.2">
      <c r="A344" t="s">
        <v>819</v>
      </c>
      <c r="B344" s="21" t="s">
        <v>1052</v>
      </c>
      <c r="C344"/>
      <c r="D344" t="s">
        <v>128</v>
      </c>
      <c r="E344" t="s">
        <v>1435</v>
      </c>
      <c r="F344" s="20"/>
      <c r="H344" s="17" t="s">
        <v>1303</v>
      </c>
      <c r="I344" s="18">
        <v>50</v>
      </c>
      <c r="J344" t="s">
        <v>820</v>
      </c>
      <c r="K344" t="s">
        <v>238</v>
      </c>
    </row>
    <row r="345" spans="1:11" x14ac:dyDescent="0.2">
      <c r="A345" t="s">
        <v>749</v>
      </c>
      <c r="B345" s="21" t="s">
        <v>1767</v>
      </c>
      <c r="C345">
        <v>660190757</v>
      </c>
      <c r="D345" t="s">
        <v>111</v>
      </c>
      <c r="E345">
        <v>208</v>
      </c>
      <c r="F345" s="20" t="s">
        <v>1768</v>
      </c>
      <c r="G345" t="s">
        <v>1773</v>
      </c>
      <c r="H345" s="17" t="s">
        <v>1769</v>
      </c>
      <c r="I345" s="18" t="s">
        <v>1770</v>
      </c>
      <c r="J345" t="s">
        <v>109</v>
      </c>
      <c r="K345" t="s">
        <v>218</v>
      </c>
    </row>
    <row r="346" spans="1:11" x14ac:dyDescent="0.2">
      <c r="A346" t="s">
        <v>750</v>
      </c>
      <c r="B346" s="21" t="s">
        <v>1060</v>
      </c>
      <c r="C346"/>
      <c r="D346" t="s">
        <v>73</v>
      </c>
      <c r="E346" t="s">
        <v>1436</v>
      </c>
      <c r="F346" s="20"/>
      <c r="H346" s="17" t="s">
        <v>1304</v>
      </c>
      <c r="I346" s="18">
        <v>37</v>
      </c>
      <c r="J346" t="s">
        <v>98</v>
      </c>
      <c r="K346" t="s">
        <v>99</v>
      </c>
    </row>
    <row r="347" spans="1:11" x14ac:dyDescent="0.2">
      <c r="A347" t="s">
        <v>913</v>
      </c>
      <c r="B347" s="21" t="s">
        <v>1061</v>
      </c>
      <c r="C347"/>
      <c r="D347" t="s">
        <v>111</v>
      </c>
      <c r="E347" t="s">
        <v>926</v>
      </c>
      <c r="F347" s="20"/>
      <c r="H347" s="17" t="s">
        <v>1305</v>
      </c>
      <c r="I347" s="18">
        <v>34</v>
      </c>
      <c r="J347" t="s">
        <v>256</v>
      </c>
      <c r="K347" t="s">
        <v>238</v>
      </c>
    </row>
    <row r="348" spans="1:11" x14ac:dyDescent="0.2">
      <c r="A348" t="s">
        <v>751</v>
      </c>
      <c r="B348" s="21" t="s">
        <v>425</v>
      </c>
      <c r="C348"/>
      <c r="D348" t="s">
        <v>135</v>
      </c>
      <c r="E348" t="s">
        <v>1437</v>
      </c>
      <c r="F348" s="20"/>
      <c r="H348" s="17" t="s">
        <v>1306</v>
      </c>
      <c r="I348" s="18">
        <v>30</v>
      </c>
      <c r="J348" t="s">
        <v>98</v>
      </c>
      <c r="K348" t="s">
        <v>98</v>
      </c>
    </row>
    <row r="349" spans="1:11" x14ac:dyDescent="0.2">
      <c r="A349" t="s">
        <v>752</v>
      </c>
      <c r="B349" s="21" t="s">
        <v>753</v>
      </c>
      <c r="C349"/>
      <c r="D349" t="s">
        <v>213</v>
      </c>
      <c r="E349" t="s">
        <v>1438</v>
      </c>
      <c r="F349" s="20"/>
      <c r="H349" s="17" t="s">
        <v>1307</v>
      </c>
      <c r="I349" s="18">
        <v>39</v>
      </c>
      <c r="J349" t="s">
        <v>754</v>
      </c>
      <c r="K349" t="s">
        <v>755</v>
      </c>
    </row>
    <row r="350" spans="1:11" x14ac:dyDescent="0.2">
      <c r="A350" t="s">
        <v>836</v>
      </c>
      <c r="B350" s="21" t="s">
        <v>652</v>
      </c>
      <c r="C350"/>
      <c r="D350" t="s">
        <v>135</v>
      </c>
      <c r="E350" t="s">
        <v>1439</v>
      </c>
      <c r="F350" s="20"/>
      <c r="H350" s="17" t="s">
        <v>1308</v>
      </c>
      <c r="I350" s="18"/>
      <c r="J350" t="s">
        <v>837</v>
      </c>
      <c r="K350" t="s">
        <v>837</v>
      </c>
    </row>
    <row r="351" spans="1:11" x14ac:dyDescent="0.2">
      <c r="A351" t="s">
        <v>810</v>
      </c>
      <c r="B351" s="21" t="s">
        <v>175</v>
      </c>
      <c r="C351"/>
      <c r="D351" t="s">
        <v>111</v>
      </c>
      <c r="E351" t="s">
        <v>1440</v>
      </c>
      <c r="F351" s="20"/>
      <c r="H351" s="17" t="s">
        <v>1309</v>
      </c>
      <c r="I351" s="18"/>
      <c r="J351" t="s">
        <v>160</v>
      </c>
      <c r="K351" t="s">
        <v>94</v>
      </c>
    </row>
    <row r="352" spans="1:11" x14ac:dyDescent="0.2">
      <c r="A352" t="s">
        <v>756</v>
      </c>
      <c r="B352" s="21" t="s">
        <v>757</v>
      </c>
      <c r="C352"/>
      <c r="D352" t="s">
        <v>139</v>
      </c>
      <c r="E352" t="s">
        <v>432</v>
      </c>
      <c r="F352" s="20"/>
      <c r="H352" s="17" t="s">
        <v>1310</v>
      </c>
      <c r="I352" s="18">
        <v>42</v>
      </c>
      <c r="J352" t="s">
        <v>261</v>
      </c>
      <c r="K352" t="s">
        <v>1339</v>
      </c>
    </row>
    <row r="353" spans="1:11" x14ac:dyDescent="0.2">
      <c r="A353" t="s">
        <v>758</v>
      </c>
      <c r="B353" s="21" t="s">
        <v>425</v>
      </c>
      <c r="C353"/>
      <c r="D353" t="s">
        <v>232</v>
      </c>
      <c r="E353" t="s">
        <v>759</v>
      </c>
      <c r="F353" s="20"/>
      <c r="H353" s="17" t="s">
        <v>1136</v>
      </c>
      <c r="I353" s="18">
        <v>20</v>
      </c>
      <c r="J353" t="s">
        <v>114</v>
      </c>
      <c r="K353" t="s">
        <v>78</v>
      </c>
    </row>
    <row r="354" spans="1:11" x14ac:dyDescent="0.2">
      <c r="A354" t="s">
        <v>760</v>
      </c>
      <c r="B354" s="21" t="s">
        <v>425</v>
      </c>
      <c r="C354"/>
      <c r="D354" t="s">
        <v>232</v>
      </c>
      <c r="E354" t="s">
        <v>761</v>
      </c>
      <c r="F354" s="20"/>
      <c r="H354" s="17" t="s">
        <v>1311</v>
      </c>
      <c r="I354" s="18">
        <v>20</v>
      </c>
      <c r="J354" t="s">
        <v>114</v>
      </c>
      <c r="K354" t="s">
        <v>78</v>
      </c>
    </row>
    <row r="355" spans="1:11" x14ac:dyDescent="0.2">
      <c r="A355" t="s">
        <v>762</v>
      </c>
      <c r="B355" s="21" t="s">
        <v>763</v>
      </c>
      <c r="C355"/>
      <c r="D355" t="s">
        <v>122</v>
      </c>
      <c r="E355" t="s">
        <v>765</v>
      </c>
      <c r="F355" s="20"/>
      <c r="H355" s="17" t="s">
        <v>1312</v>
      </c>
      <c r="I355" s="18">
        <v>30</v>
      </c>
      <c r="J355" t="s">
        <v>764</v>
      </c>
      <c r="K355" t="s">
        <v>218</v>
      </c>
    </row>
    <row r="356" spans="1:11" x14ac:dyDescent="0.2">
      <c r="A356" t="s">
        <v>766</v>
      </c>
      <c r="B356" s="21" t="s">
        <v>1062</v>
      </c>
      <c r="C356"/>
      <c r="D356" t="s">
        <v>139</v>
      </c>
      <c r="E356" t="s">
        <v>1441</v>
      </c>
      <c r="F356" s="20"/>
      <c r="H356" s="17" t="s">
        <v>1313</v>
      </c>
      <c r="I356" s="18">
        <v>30</v>
      </c>
      <c r="J356" t="s">
        <v>256</v>
      </c>
      <c r="K356" t="s">
        <v>238</v>
      </c>
    </row>
    <row r="357" spans="1:11" x14ac:dyDescent="0.2">
      <c r="A357" t="s">
        <v>828</v>
      </c>
      <c r="B357" s="21" t="s">
        <v>1053</v>
      </c>
      <c r="C357"/>
      <c r="D357" t="s">
        <v>111</v>
      </c>
      <c r="E357" t="s">
        <v>1442</v>
      </c>
      <c r="F357" s="20"/>
      <c r="H357" s="17" t="s">
        <v>1314</v>
      </c>
      <c r="I357" s="18">
        <v>34</v>
      </c>
      <c r="J357" t="s">
        <v>160</v>
      </c>
      <c r="K357" t="s">
        <v>94</v>
      </c>
    </row>
    <row r="358" spans="1:11" x14ac:dyDescent="0.2">
      <c r="A358" t="s">
        <v>835</v>
      </c>
      <c r="B358" s="21" t="s">
        <v>997</v>
      </c>
      <c r="C358"/>
      <c r="D358" t="s">
        <v>139</v>
      </c>
      <c r="E358" t="s">
        <v>1443</v>
      </c>
      <c r="F358" s="20"/>
      <c r="H358" s="17" t="s">
        <v>1315</v>
      </c>
      <c r="I358" s="18"/>
      <c r="J358" t="s">
        <v>364</v>
      </c>
      <c r="K358" t="s">
        <v>238</v>
      </c>
    </row>
    <row r="359" spans="1:11" x14ac:dyDescent="0.2">
      <c r="A359" t="s">
        <v>767</v>
      </c>
      <c r="B359" s="21" t="s">
        <v>1057</v>
      </c>
      <c r="C359"/>
      <c r="D359" t="s">
        <v>213</v>
      </c>
      <c r="E359" t="s">
        <v>1422</v>
      </c>
      <c r="F359" s="20"/>
      <c r="H359" s="17" t="s">
        <v>1316</v>
      </c>
      <c r="I359" s="18">
        <v>25</v>
      </c>
      <c r="J359" t="s">
        <v>93</v>
      </c>
      <c r="K359" t="s">
        <v>78</v>
      </c>
    </row>
    <row r="360" spans="1:11" x14ac:dyDescent="0.2">
      <c r="A360" t="s">
        <v>768</v>
      </c>
      <c r="B360" s="21" t="s">
        <v>1063</v>
      </c>
      <c r="C360"/>
      <c r="D360" t="s">
        <v>139</v>
      </c>
      <c r="E360" t="s">
        <v>549</v>
      </c>
      <c r="F360" s="20"/>
      <c r="H360" s="17" t="s">
        <v>1317</v>
      </c>
      <c r="I360" s="18">
        <v>34</v>
      </c>
      <c r="J360" t="s">
        <v>160</v>
      </c>
      <c r="K360" t="s">
        <v>94</v>
      </c>
    </row>
    <row r="361" spans="1:11" x14ac:dyDescent="0.2">
      <c r="A361" t="s">
        <v>769</v>
      </c>
      <c r="B361" s="21" t="s">
        <v>1064</v>
      </c>
      <c r="C361"/>
      <c r="D361" t="s">
        <v>131</v>
      </c>
      <c r="E361" t="s">
        <v>771</v>
      </c>
      <c r="F361" s="20"/>
      <c r="H361" s="17"/>
      <c r="I361" s="18"/>
      <c r="J361" t="s">
        <v>770</v>
      </c>
      <c r="K361" t="s">
        <v>198</v>
      </c>
    </row>
    <row r="362" spans="1:11" x14ac:dyDescent="0.2">
      <c r="A362" t="s">
        <v>772</v>
      </c>
      <c r="B362" s="21" t="s">
        <v>417</v>
      </c>
      <c r="C362"/>
      <c r="D362" t="s">
        <v>521</v>
      </c>
      <c r="F362" s="20"/>
      <c r="H362" s="17"/>
      <c r="I362" s="18"/>
      <c r="J362"/>
    </row>
    <row r="363" spans="1:11" x14ac:dyDescent="0.2">
      <c r="A363" t="s">
        <v>992</v>
      </c>
      <c r="B363" s="21" t="s">
        <v>773</v>
      </c>
      <c r="C363"/>
      <c r="D363" t="s">
        <v>228</v>
      </c>
      <c r="F363" s="20"/>
      <c r="H363" s="17" t="s">
        <v>145</v>
      </c>
      <c r="I363" s="18"/>
      <c r="J363" t="s">
        <v>535</v>
      </c>
      <c r="K363" t="s">
        <v>774</v>
      </c>
    </row>
    <row r="364" spans="1:11" x14ac:dyDescent="0.2">
      <c r="A364" t="s">
        <v>775</v>
      </c>
      <c r="B364" s="21" t="s">
        <v>425</v>
      </c>
      <c r="C364"/>
      <c r="D364" t="s">
        <v>111</v>
      </c>
      <c r="E364">
        <v>208</v>
      </c>
      <c r="F364" s="20"/>
      <c r="H364" s="17" t="s">
        <v>1318</v>
      </c>
      <c r="I364" s="18"/>
      <c r="J364" t="s">
        <v>308</v>
      </c>
      <c r="K364" t="s">
        <v>218</v>
      </c>
    </row>
    <row r="365" spans="1:11" x14ac:dyDescent="0.2">
      <c r="A365" t="s">
        <v>776</v>
      </c>
      <c r="B365" s="21" t="s">
        <v>1065</v>
      </c>
      <c r="C365"/>
      <c r="D365" t="s">
        <v>128</v>
      </c>
      <c r="E365" t="s">
        <v>777</v>
      </c>
      <c r="F365" s="20"/>
      <c r="H365" s="17" t="s">
        <v>1319</v>
      </c>
      <c r="I365" s="18">
        <v>50</v>
      </c>
      <c r="J365" t="s">
        <v>539</v>
      </c>
      <c r="K365" t="s">
        <v>78</v>
      </c>
    </row>
    <row r="366" spans="1:11" x14ac:dyDescent="0.2">
      <c r="A366" t="s">
        <v>800</v>
      </c>
      <c r="B366" s="21" t="s">
        <v>1066</v>
      </c>
      <c r="C366"/>
      <c r="D366" t="s">
        <v>128</v>
      </c>
      <c r="E366" t="s">
        <v>801</v>
      </c>
      <c r="F366" s="20"/>
      <c r="H366" s="17" t="s">
        <v>1320</v>
      </c>
      <c r="I366" s="18">
        <v>50</v>
      </c>
      <c r="J366" t="s">
        <v>231</v>
      </c>
      <c r="K366" t="s">
        <v>94</v>
      </c>
    </row>
    <row r="367" spans="1:11" x14ac:dyDescent="0.2">
      <c r="A367" t="s">
        <v>778</v>
      </c>
      <c r="B367" s="21" t="s">
        <v>194</v>
      </c>
      <c r="C367"/>
      <c r="D367" t="s">
        <v>781</v>
      </c>
      <c r="E367" t="s">
        <v>782</v>
      </c>
      <c r="F367" s="89">
        <v>39353</v>
      </c>
      <c r="G367" s="21" t="s">
        <v>2444</v>
      </c>
      <c r="H367" s="90" t="s">
        <v>2445</v>
      </c>
      <c r="I367" s="18">
        <v>23</v>
      </c>
      <c r="J367" t="s">
        <v>779</v>
      </c>
      <c r="K367" t="s">
        <v>780</v>
      </c>
    </row>
    <row r="368" spans="1:11" x14ac:dyDescent="0.2">
      <c r="A368" t="s">
        <v>783</v>
      </c>
      <c r="B368" s="21" t="s">
        <v>784</v>
      </c>
      <c r="C368"/>
      <c r="D368" t="s">
        <v>173</v>
      </c>
      <c r="E368" t="s">
        <v>785</v>
      </c>
      <c r="F368" s="20"/>
      <c r="H368" s="17" t="s">
        <v>1321</v>
      </c>
      <c r="I368" s="18">
        <v>14</v>
      </c>
      <c r="J368" t="s">
        <v>1332</v>
      </c>
      <c r="K368" t="s">
        <v>78</v>
      </c>
    </row>
    <row r="369" spans="1:11" x14ac:dyDescent="0.2">
      <c r="A369" t="s">
        <v>786</v>
      </c>
      <c r="B369" s="21" t="s">
        <v>952</v>
      </c>
      <c r="C369"/>
      <c r="D369" t="s">
        <v>131</v>
      </c>
      <c r="E369" t="s">
        <v>1444</v>
      </c>
      <c r="F369" s="20"/>
      <c r="H369" s="17" t="s">
        <v>1322</v>
      </c>
      <c r="I369" s="18">
        <v>40</v>
      </c>
      <c r="J369" t="s">
        <v>93</v>
      </c>
      <c r="K369" t="s">
        <v>477</v>
      </c>
    </row>
    <row r="370" spans="1:11" x14ac:dyDescent="0.2">
      <c r="A370" t="s">
        <v>1465</v>
      </c>
      <c r="B370" t="s">
        <v>1466</v>
      </c>
      <c r="D370" t="s">
        <v>228</v>
      </c>
      <c r="E370" t="s">
        <v>246</v>
      </c>
      <c r="F370" s="20">
        <v>43350</v>
      </c>
      <c r="G370" t="s">
        <v>1467</v>
      </c>
      <c r="H370" s="17" t="s">
        <v>1468</v>
      </c>
      <c r="I370" s="18" t="s">
        <v>1469</v>
      </c>
      <c r="J370" t="s">
        <v>238</v>
      </c>
      <c r="K370" t="s">
        <v>1470</v>
      </c>
    </row>
    <row r="371" spans="1:11" x14ac:dyDescent="0.2">
      <c r="A371" t="s">
        <v>1471</v>
      </c>
      <c r="B371" t="s">
        <v>1472</v>
      </c>
      <c r="D371" t="s">
        <v>128</v>
      </c>
      <c r="E371" t="s">
        <v>1473</v>
      </c>
      <c r="F371" s="20">
        <v>40975</v>
      </c>
      <c r="G371" t="s">
        <v>1592</v>
      </c>
      <c r="H371" s="17" t="s">
        <v>1593</v>
      </c>
      <c r="I371" s="18" t="s">
        <v>1474</v>
      </c>
      <c r="J371" t="s">
        <v>94</v>
      </c>
      <c r="K371" t="s">
        <v>1136</v>
      </c>
    </row>
    <row r="372" spans="1:11" x14ac:dyDescent="0.2">
      <c r="A372" t="s">
        <v>1477</v>
      </c>
      <c r="C372" s="22" t="s">
        <v>1479</v>
      </c>
      <c r="D372" t="s">
        <v>228</v>
      </c>
      <c r="E372" t="s">
        <v>1480</v>
      </c>
      <c r="F372" s="20" t="s">
        <v>1481</v>
      </c>
      <c r="G372" t="s">
        <v>1482</v>
      </c>
      <c r="H372" s="17" t="s">
        <v>1483</v>
      </c>
      <c r="I372" s="18" t="s">
        <v>1516</v>
      </c>
      <c r="J372" t="s">
        <v>1517</v>
      </c>
      <c r="K372" t="s">
        <v>1484</v>
      </c>
    </row>
    <row r="373" spans="1:11" x14ac:dyDescent="0.2">
      <c r="A373" t="s">
        <v>1485</v>
      </c>
      <c r="B373" t="s">
        <v>1487</v>
      </c>
      <c r="C373" s="22" t="s">
        <v>1504</v>
      </c>
      <c r="D373" t="s">
        <v>105</v>
      </c>
      <c r="E373" t="s">
        <v>379</v>
      </c>
      <c r="F373" s="20">
        <v>40456</v>
      </c>
      <c r="G373" t="s">
        <v>1467</v>
      </c>
      <c r="H373" s="17" t="s">
        <v>1505</v>
      </c>
      <c r="I373" s="76" t="s">
        <v>1484</v>
      </c>
      <c r="J373" t="s">
        <v>94</v>
      </c>
      <c r="K373" s="18" t="s">
        <v>1488</v>
      </c>
    </row>
    <row r="374" spans="1:11" x14ac:dyDescent="0.2">
      <c r="A374" t="s">
        <v>1477</v>
      </c>
      <c r="B374" t="s">
        <v>1478</v>
      </c>
      <c r="C374" s="22" t="s">
        <v>1479</v>
      </c>
      <c r="D374" t="s">
        <v>228</v>
      </c>
      <c r="E374" t="s">
        <v>1480</v>
      </c>
      <c r="F374" s="20" t="s">
        <v>1506</v>
      </c>
      <c r="G374" t="s">
        <v>1482</v>
      </c>
      <c r="H374" s="17" t="s">
        <v>1483</v>
      </c>
      <c r="I374" s="18" t="s">
        <v>1484</v>
      </c>
      <c r="J374"/>
    </row>
    <row r="375" spans="1:11" x14ac:dyDescent="0.2">
      <c r="A375" t="s">
        <v>1522</v>
      </c>
      <c r="B375" t="s">
        <v>1523</v>
      </c>
      <c r="C375" s="22" t="s">
        <v>1524</v>
      </c>
      <c r="D375" t="s">
        <v>128</v>
      </c>
      <c r="E375" t="s">
        <v>167</v>
      </c>
      <c r="F375" s="20" t="s">
        <v>1525</v>
      </c>
      <c r="G375" t="s">
        <v>1459</v>
      </c>
      <c r="H375" s="17" t="s">
        <v>1526</v>
      </c>
      <c r="I375" s="18" t="s">
        <v>1136</v>
      </c>
      <c r="J375" t="s">
        <v>1527</v>
      </c>
      <c r="K375" t="s">
        <v>78</v>
      </c>
    </row>
    <row r="376" spans="1:11" x14ac:dyDescent="0.2">
      <c r="A376" t="s">
        <v>1533</v>
      </c>
      <c r="B376" t="s">
        <v>1534</v>
      </c>
      <c r="C376" s="22" t="s">
        <v>1535</v>
      </c>
      <c r="D376" t="s">
        <v>1536</v>
      </c>
      <c r="E376" t="s">
        <v>1537</v>
      </c>
      <c r="F376" s="20">
        <v>36892</v>
      </c>
      <c r="G376" t="s">
        <v>1538</v>
      </c>
      <c r="H376" s="17" t="s">
        <v>1539</v>
      </c>
      <c r="I376" s="18" t="s">
        <v>1540</v>
      </c>
      <c r="J376" t="s">
        <v>1541</v>
      </c>
      <c r="K376" t="s">
        <v>1542</v>
      </c>
    </row>
    <row r="377" spans="1:11" x14ac:dyDescent="0.2">
      <c r="A377" t="s">
        <v>1544</v>
      </c>
      <c r="B377" t="s">
        <v>1545</v>
      </c>
      <c r="C377" s="22" t="s">
        <v>1546</v>
      </c>
      <c r="D377" t="s">
        <v>73</v>
      </c>
      <c r="E377" t="s">
        <v>95</v>
      </c>
      <c r="F377" s="20">
        <v>39925</v>
      </c>
      <c r="G377" t="s">
        <v>1453</v>
      </c>
      <c r="H377" s="17" t="s">
        <v>1547</v>
      </c>
      <c r="I377" s="18" t="s">
        <v>1153</v>
      </c>
      <c r="J377" t="s">
        <v>93</v>
      </c>
      <c r="K377" t="s">
        <v>94</v>
      </c>
    </row>
    <row r="378" spans="1:11" x14ac:dyDescent="0.2">
      <c r="F378" s="20"/>
      <c r="H378" s="17"/>
      <c r="I378" s="18"/>
      <c r="J378"/>
    </row>
    <row r="379" spans="1:11" x14ac:dyDescent="0.2">
      <c r="A379" t="s">
        <v>1550</v>
      </c>
      <c r="B379" t="s">
        <v>1551</v>
      </c>
      <c r="C379" s="22" t="s">
        <v>1552</v>
      </c>
      <c r="D379" t="s">
        <v>399</v>
      </c>
      <c r="E379">
        <v>3</v>
      </c>
      <c r="F379" s="20">
        <v>39571</v>
      </c>
      <c r="G379" t="s">
        <v>1553</v>
      </c>
      <c r="H379" s="17" t="s">
        <v>1554</v>
      </c>
      <c r="I379" s="18"/>
      <c r="J379" t="s">
        <v>847</v>
      </c>
      <c r="K379" t="s">
        <v>1555</v>
      </c>
    </row>
    <row r="380" spans="1:11" x14ac:dyDescent="0.2">
      <c r="A380" t="s">
        <v>1581</v>
      </c>
      <c r="B380" t="s">
        <v>1582</v>
      </c>
      <c r="C380" s="22" t="s">
        <v>1583</v>
      </c>
      <c r="D380" t="s">
        <v>1584</v>
      </c>
      <c r="E380" t="s">
        <v>1585</v>
      </c>
      <c r="F380" s="20" t="s">
        <v>1586</v>
      </c>
      <c r="G380" t="s">
        <v>1587</v>
      </c>
      <c r="H380" s="17" t="s">
        <v>1588</v>
      </c>
      <c r="I380" s="18" t="s">
        <v>1589</v>
      </c>
      <c r="J380" t="s">
        <v>1590</v>
      </c>
      <c r="K380" t="s">
        <v>1591</v>
      </c>
    </row>
    <row r="381" spans="1:11" x14ac:dyDescent="0.2">
      <c r="A381" t="s">
        <v>1605</v>
      </c>
      <c r="B381" t="s">
        <v>1606</v>
      </c>
      <c r="C381" s="22" t="s">
        <v>1607</v>
      </c>
      <c r="D381" t="s">
        <v>128</v>
      </c>
      <c r="E381" t="s">
        <v>129</v>
      </c>
      <c r="F381" s="20" t="s">
        <v>1608</v>
      </c>
      <c r="G381" t="s">
        <v>1609</v>
      </c>
      <c r="H381" s="17" t="s">
        <v>1610</v>
      </c>
      <c r="I381" s="18" t="s">
        <v>1611</v>
      </c>
      <c r="J381" t="s">
        <v>204</v>
      </c>
      <c r="K381" t="s">
        <v>94</v>
      </c>
    </row>
    <row r="382" spans="1:11" x14ac:dyDescent="0.2">
      <c r="A382" t="s">
        <v>1614</v>
      </c>
      <c r="B382" t="s">
        <v>1615</v>
      </c>
      <c r="C382" s="22" t="s">
        <v>1616</v>
      </c>
      <c r="D382" t="s">
        <v>173</v>
      </c>
      <c r="E382" t="s">
        <v>504</v>
      </c>
      <c r="F382" s="20" t="s">
        <v>1617</v>
      </c>
      <c r="G382" t="s">
        <v>1618</v>
      </c>
      <c r="H382" s="17" t="s">
        <v>1619</v>
      </c>
      <c r="I382" s="18" t="s">
        <v>1136</v>
      </c>
      <c r="J382" t="s">
        <v>1620</v>
      </c>
      <c r="K382" t="s">
        <v>296</v>
      </c>
    </row>
    <row r="383" spans="1:11" x14ac:dyDescent="0.2">
      <c r="A383" t="s">
        <v>1627</v>
      </c>
      <c r="B383" t="s">
        <v>1628</v>
      </c>
      <c r="C383" s="22" t="s">
        <v>1629</v>
      </c>
      <c r="D383" t="s">
        <v>139</v>
      </c>
      <c r="E383" t="s">
        <v>239</v>
      </c>
      <c r="F383" s="20" t="s">
        <v>1630</v>
      </c>
      <c r="G383" t="s">
        <v>1631</v>
      </c>
      <c r="H383" s="17" t="s">
        <v>1632</v>
      </c>
      <c r="I383" s="18"/>
      <c r="J383" t="s">
        <v>364</v>
      </c>
      <c r="K383" t="s">
        <v>238</v>
      </c>
    </row>
    <row r="384" spans="1:11" x14ac:dyDescent="0.2">
      <c r="A384" t="s">
        <v>1636</v>
      </c>
      <c r="B384" t="s">
        <v>172</v>
      </c>
      <c r="D384" t="s">
        <v>120</v>
      </c>
      <c r="E384" t="s">
        <v>379</v>
      </c>
      <c r="F384" s="20" t="s">
        <v>1637</v>
      </c>
      <c r="G384" t="s">
        <v>1638</v>
      </c>
      <c r="H384" s="17" t="s">
        <v>1639</v>
      </c>
      <c r="I384" s="18" t="s">
        <v>1470</v>
      </c>
      <c r="J384" t="s">
        <v>1640</v>
      </c>
      <c r="K384" t="s">
        <v>94</v>
      </c>
    </row>
    <row r="385" spans="1:11" x14ac:dyDescent="0.2">
      <c r="A385" t="s">
        <v>1643</v>
      </c>
      <c r="B385" t="s">
        <v>1523</v>
      </c>
      <c r="D385" t="s">
        <v>128</v>
      </c>
      <c r="E385" t="s">
        <v>1644</v>
      </c>
      <c r="F385" s="20" t="s">
        <v>1645</v>
      </c>
      <c r="G385" t="s">
        <v>1652</v>
      </c>
      <c r="H385" s="17" t="s">
        <v>1646</v>
      </c>
      <c r="I385" s="18" t="s">
        <v>1136</v>
      </c>
      <c r="J385" t="s">
        <v>1527</v>
      </c>
      <c r="K385" t="s">
        <v>1647</v>
      </c>
    </row>
    <row r="386" spans="1:11" x14ac:dyDescent="0.2">
      <c r="A386" t="s">
        <v>1662</v>
      </c>
      <c r="B386" t="s">
        <v>1663</v>
      </c>
      <c r="C386" s="22" t="s">
        <v>1664</v>
      </c>
      <c r="D386" t="s">
        <v>228</v>
      </c>
      <c r="E386" t="s">
        <v>1480</v>
      </c>
      <c r="F386" s="20" t="s">
        <v>1665</v>
      </c>
      <c r="G386" t="s">
        <v>1467</v>
      </c>
      <c r="H386" s="17" t="s">
        <v>1666</v>
      </c>
      <c r="I386" s="18" t="s">
        <v>1484</v>
      </c>
      <c r="J386" t="s">
        <v>1667</v>
      </c>
      <c r="K386" t="s">
        <v>94</v>
      </c>
    </row>
    <row r="387" spans="1:11" x14ac:dyDescent="0.2">
      <c r="A387" t="s">
        <v>1671</v>
      </c>
      <c r="B387" t="s">
        <v>1672</v>
      </c>
      <c r="C387" s="22" t="s">
        <v>1673</v>
      </c>
      <c r="D387" t="s">
        <v>135</v>
      </c>
      <c r="E387" t="s">
        <v>1674</v>
      </c>
      <c r="F387" s="20">
        <v>41436</v>
      </c>
      <c r="G387" t="s">
        <v>1482</v>
      </c>
      <c r="H387" s="17" t="s">
        <v>1675</v>
      </c>
      <c r="I387" s="18" t="s">
        <v>1484</v>
      </c>
      <c r="J387" t="s">
        <v>796</v>
      </c>
      <c r="K387">
        <v>8.3000000000000007</v>
      </c>
    </row>
    <row r="388" spans="1:11" x14ac:dyDescent="0.2">
      <c r="A388" t="s">
        <v>1684</v>
      </c>
      <c r="B388" t="s">
        <v>1013</v>
      </c>
      <c r="D388" t="s">
        <v>1685</v>
      </c>
      <c r="E388">
        <v>208</v>
      </c>
      <c r="F388" s="20" t="s">
        <v>1686</v>
      </c>
      <c r="H388" s="17" t="s">
        <v>1687</v>
      </c>
      <c r="I388" s="18" t="s">
        <v>1104</v>
      </c>
      <c r="J388" t="s">
        <v>833</v>
      </c>
      <c r="K388" t="s">
        <v>94</v>
      </c>
    </row>
    <row r="389" spans="1:11" x14ac:dyDescent="0.2">
      <c r="A389" t="s">
        <v>1691</v>
      </c>
      <c r="B389" t="s">
        <v>1692</v>
      </c>
      <c r="C389" s="22" t="s">
        <v>1693</v>
      </c>
      <c r="D389" t="s">
        <v>111</v>
      </c>
      <c r="E389" t="s">
        <v>126</v>
      </c>
      <c r="F389" s="20" t="s">
        <v>1694</v>
      </c>
      <c r="G389" t="s">
        <v>1453</v>
      </c>
      <c r="H389" s="17" t="s">
        <v>1695</v>
      </c>
      <c r="I389" s="18" t="s">
        <v>1470</v>
      </c>
      <c r="J389" t="s">
        <v>158</v>
      </c>
      <c r="K389" t="s">
        <v>569</v>
      </c>
    </row>
    <row r="390" spans="1:11" x14ac:dyDescent="0.2">
      <c r="A390" t="s">
        <v>1701</v>
      </c>
      <c r="B390" t="s">
        <v>1702</v>
      </c>
      <c r="D390" t="s">
        <v>139</v>
      </c>
      <c r="E390" t="s">
        <v>239</v>
      </c>
      <c r="F390" s="20" t="s">
        <v>1703</v>
      </c>
      <c r="G390" t="s">
        <v>1704</v>
      </c>
      <c r="H390" s="17" t="s">
        <v>1705</v>
      </c>
      <c r="I390" s="18" t="s">
        <v>1706</v>
      </c>
      <c r="J390" t="s">
        <v>114</v>
      </c>
      <c r="K390" t="s">
        <v>1707</v>
      </c>
    </row>
    <row r="391" spans="1:11" x14ac:dyDescent="0.2">
      <c r="A391" t="s">
        <v>1714</v>
      </c>
      <c r="B391" t="s">
        <v>1702</v>
      </c>
      <c r="D391" t="s">
        <v>139</v>
      </c>
      <c r="E391" t="s">
        <v>1715</v>
      </c>
      <c r="F391" s="20" t="s">
        <v>1716</v>
      </c>
      <c r="G391" t="s">
        <v>1717</v>
      </c>
      <c r="H391" s="17">
        <v>3.8</v>
      </c>
      <c r="I391" s="18">
        <v>34</v>
      </c>
      <c r="J391" t="s">
        <v>114</v>
      </c>
      <c r="K391" t="s">
        <v>1707</v>
      </c>
    </row>
    <row r="392" spans="1:11" x14ac:dyDescent="0.2">
      <c r="A392" t="s">
        <v>1718</v>
      </c>
      <c r="B392" t="s">
        <v>1719</v>
      </c>
      <c r="C392" s="22" t="s">
        <v>1720</v>
      </c>
      <c r="D392" t="s">
        <v>128</v>
      </c>
      <c r="E392" t="s">
        <v>1721</v>
      </c>
      <c r="F392" s="20" t="s">
        <v>1722</v>
      </c>
      <c r="G392" t="s">
        <v>1723</v>
      </c>
      <c r="H392" s="17" t="s">
        <v>1724</v>
      </c>
      <c r="I392" s="18" t="s">
        <v>1136</v>
      </c>
      <c r="J392" t="s">
        <v>204</v>
      </c>
      <c r="K392" t="s">
        <v>1725</v>
      </c>
    </row>
    <row r="393" spans="1:11" x14ac:dyDescent="0.2">
      <c r="A393" t="s">
        <v>1727</v>
      </c>
      <c r="B393" t="s">
        <v>1728</v>
      </c>
      <c r="C393" s="22" t="s">
        <v>1729</v>
      </c>
      <c r="D393" t="s">
        <v>105</v>
      </c>
      <c r="E393" t="s">
        <v>147</v>
      </c>
      <c r="F393" s="20">
        <v>40704</v>
      </c>
      <c r="G393" t="s">
        <v>1482</v>
      </c>
      <c r="H393" s="17" t="s">
        <v>1483</v>
      </c>
      <c r="I393" s="18" t="s">
        <v>1484</v>
      </c>
      <c r="J393" t="s">
        <v>77</v>
      </c>
      <c r="K393" t="s">
        <v>94</v>
      </c>
    </row>
    <row r="394" spans="1:11" x14ac:dyDescent="0.2">
      <c r="A394" t="s">
        <v>1737</v>
      </c>
      <c r="B394" t="s">
        <v>1013</v>
      </c>
      <c r="D394" t="s">
        <v>1685</v>
      </c>
      <c r="E394">
        <v>2008</v>
      </c>
      <c r="F394" s="20" t="s">
        <v>1734</v>
      </c>
      <c r="G394" t="s">
        <v>1735</v>
      </c>
      <c r="H394" s="17" t="s">
        <v>1736</v>
      </c>
      <c r="I394" s="18" t="s">
        <v>1289</v>
      </c>
      <c r="J394" t="s">
        <v>1330</v>
      </c>
      <c r="K394" t="s">
        <v>94</v>
      </c>
    </row>
    <row r="395" spans="1:11" x14ac:dyDescent="0.2">
      <c r="A395" t="s">
        <v>1745</v>
      </c>
      <c r="B395" t="s">
        <v>1013</v>
      </c>
      <c r="D395" t="s">
        <v>248</v>
      </c>
      <c r="E395" t="s">
        <v>1746</v>
      </c>
      <c r="F395" s="20" t="s">
        <v>1747</v>
      </c>
      <c r="H395" s="17" t="s">
        <v>1748</v>
      </c>
      <c r="I395" s="18" t="s">
        <v>1749</v>
      </c>
      <c r="J395" t="s">
        <v>81</v>
      </c>
      <c r="K395" t="s">
        <v>1725</v>
      </c>
    </row>
    <row r="396" spans="1:11" x14ac:dyDescent="0.2">
      <c r="A396" t="s">
        <v>1755</v>
      </c>
      <c r="B396" t="s">
        <v>1756</v>
      </c>
      <c r="C396" s="22" t="s">
        <v>1757</v>
      </c>
      <c r="D396" t="s">
        <v>399</v>
      </c>
      <c r="E396">
        <v>318</v>
      </c>
      <c r="F396" s="20">
        <v>36384</v>
      </c>
      <c r="G396" t="s">
        <v>1758</v>
      </c>
      <c r="H396" s="17" t="s">
        <v>1759</v>
      </c>
      <c r="I396" s="18" t="s">
        <v>1760</v>
      </c>
      <c r="J396" t="s">
        <v>1761</v>
      </c>
      <c r="K396" t="s">
        <v>1762</v>
      </c>
    </row>
    <row r="397" spans="1:11" x14ac:dyDescent="0.2">
      <c r="A397" t="s">
        <v>1774</v>
      </c>
      <c r="B397" t="s">
        <v>1774</v>
      </c>
      <c r="C397" s="22" t="s">
        <v>1597</v>
      </c>
      <c r="D397">
        <v>2</v>
      </c>
      <c r="E397">
        <v>3</v>
      </c>
      <c r="F397" s="20">
        <v>4</v>
      </c>
      <c r="G397">
        <v>5</v>
      </c>
      <c r="H397" s="17">
        <v>6</v>
      </c>
      <c r="I397" s="18">
        <v>7</v>
      </c>
      <c r="J397">
        <v>8</v>
      </c>
      <c r="K397">
        <v>9</v>
      </c>
    </row>
    <row r="398" spans="1:11" x14ac:dyDescent="0.2">
      <c r="A398" t="s">
        <v>1781</v>
      </c>
      <c r="B398" t="s">
        <v>1782</v>
      </c>
      <c r="C398" s="22" t="s">
        <v>1783</v>
      </c>
      <c r="D398" t="s">
        <v>111</v>
      </c>
      <c r="E398" t="s">
        <v>406</v>
      </c>
      <c r="F398" s="20">
        <v>42491</v>
      </c>
      <c r="G398" t="s">
        <v>1453</v>
      </c>
      <c r="H398" s="17" t="s">
        <v>1784</v>
      </c>
      <c r="I398" s="18" t="s">
        <v>1104</v>
      </c>
      <c r="J398" t="s">
        <v>256</v>
      </c>
      <c r="K398" t="s">
        <v>447</v>
      </c>
    </row>
    <row r="399" spans="1:11" x14ac:dyDescent="0.2">
      <c r="A399" t="s">
        <v>1786</v>
      </c>
      <c r="C399" s="22" t="s">
        <v>1787</v>
      </c>
      <c r="D399" t="s">
        <v>1788</v>
      </c>
      <c r="E399" t="s">
        <v>1789</v>
      </c>
      <c r="F399" s="20" t="s">
        <v>1790</v>
      </c>
      <c r="G399" t="s">
        <v>1459</v>
      </c>
      <c r="H399" s="17" t="s">
        <v>1791</v>
      </c>
      <c r="I399" s="18" t="s">
        <v>1173</v>
      </c>
      <c r="J399" t="s">
        <v>1792</v>
      </c>
      <c r="K399" t="s">
        <v>1647</v>
      </c>
    </row>
    <row r="400" spans="1:11" x14ac:dyDescent="0.2">
      <c r="A400" t="s">
        <v>1794</v>
      </c>
      <c r="B400" t="s">
        <v>1795</v>
      </c>
      <c r="D400" t="s">
        <v>1685</v>
      </c>
      <c r="E400">
        <v>3008</v>
      </c>
      <c r="F400" s="20" t="s">
        <v>1796</v>
      </c>
      <c r="G400" t="s">
        <v>1797</v>
      </c>
      <c r="H400" s="17" t="s">
        <v>1798</v>
      </c>
      <c r="I400" s="18" t="s">
        <v>1799</v>
      </c>
      <c r="J400" t="s">
        <v>364</v>
      </c>
      <c r="K400" t="s">
        <v>238</v>
      </c>
    </row>
    <row r="401" spans="1:11" x14ac:dyDescent="0.2">
      <c r="A401" t="s">
        <v>1800</v>
      </c>
      <c r="B401" t="s">
        <v>1013</v>
      </c>
      <c r="D401" t="s">
        <v>1788</v>
      </c>
      <c r="E401" t="s">
        <v>167</v>
      </c>
      <c r="F401" s="20" t="s">
        <v>1801</v>
      </c>
      <c r="G401" t="s">
        <v>1802</v>
      </c>
      <c r="H401" s="17" t="s">
        <v>1724</v>
      </c>
      <c r="I401" s="18" t="s">
        <v>1136</v>
      </c>
      <c r="J401" t="s">
        <v>204</v>
      </c>
      <c r="K401" t="s">
        <v>302</v>
      </c>
    </row>
    <row r="402" spans="1:11" x14ac:dyDescent="0.2">
      <c r="A402" t="s">
        <v>1805</v>
      </c>
      <c r="B402" t="s">
        <v>1806</v>
      </c>
      <c r="D402" t="s">
        <v>128</v>
      </c>
      <c r="E402" t="s">
        <v>706</v>
      </c>
      <c r="F402" s="20">
        <v>41559</v>
      </c>
      <c r="G402" t="s">
        <v>1723</v>
      </c>
      <c r="H402" s="17" t="s">
        <v>1807</v>
      </c>
      <c r="I402" s="18" t="s">
        <v>1611</v>
      </c>
      <c r="J402">
        <v>19.8</v>
      </c>
      <c r="K402">
        <v>9.5</v>
      </c>
    </row>
    <row r="403" spans="1:11" x14ac:dyDescent="0.2">
      <c r="A403" t="s">
        <v>1819</v>
      </c>
      <c r="B403" t="s">
        <v>1820</v>
      </c>
      <c r="F403" s="20"/>
      <c r="H403" s="17"/>
      <c r="I403" s="18"/>
      <c r="J403"/>
    </row>
    <row r="404" spans="1:11" x14ac:dyDescent="0.2">
      <c r="A404" t="s">
        <v>1821</v>
      </c>
      <c r="B404" t="s">
        <v>1822</v>
      </c>
      <c r="D404" t="s">
        <v>1788</v>
      </c>
      <c r="E404" t="s">
        <v>1823</v>
      </c>
      <c r="F404" s="20" t="s">
        <v>1824</v>
      </c>
      <c r="G404" t="s">
        <v>1825</v>
      </c>
      <c r="H404" s="17" t="s">
        <v>1826</v>
      </c>
      <c r="I404" s="18" t="s">
        <v>1706</v>
      </c>
      <c r="J404" t="s">
        <v>114</v>
      </c>
      <c r="K404" t="s">
        <v>1707</v>
      </c>
    </row>
    <row r="405" spans="1:11" x14ac:dyDescent="0.2">
      <c r="A405" t="s">
        <v>1829</v>
      </c>
      <c r="B405" t="s">
        <v>1013</v>
      </c>
      <c r="D405" t="s">
        <v>213</v>
      </c>
      <c r="E405" t="s">
        <v>1830</v>
      </c>
      <c r="F405" s="20" t="s">
        <v>1831</v>
      </c>
      <c r="G405" t="s">
        <v>1832</v>
      </c>
      <c r="H405" s="17" t="s">
        <v>1833</v>
      </c>
      <c r="I405" s="18" t="s">
        <v>1834</v>
      </c>
      <c r="J405" t="s">
        <v>81</v>
      </c>
      <c r="K405" t="s">
        <v>302</v>
      </c>
    </row>
    <row r="406" spans="1:11" x14ac:dyDescent="0.2">
      <c r="A406" t="s">
        <v>1837</v>
      </c>
      <c r="B406" t="s">
        <v>1838</v>
      </c>
      <c r="C406" s="22" t="s">
        <v>1839</v>
      </c>
      <c r="D406" t="s">
        <v>1685</v>
      </c>
      <c r="E406">
        <v>508</v>
      </c>
      <c r="F406" s="20" t="s">
        <v>1840</v>
      </c>
      <c r="G406" t="s">
        <v>1841</v>
      </c>
      <c r="H406" s="17" t="s">
        <v>1842</v>
      </c>
      <c r="I406" s="18"/>
      <c r="J406" t="s">
        <v>1843</v>
      </c>
      <c r="K406" t="s">
        <v>238</v>
      </c>
    </row>
    <row r="407" spans="1:11" x14ac:dyDescent="0.2">
      <c r="A407" t="s">
        <v>1845</v>
      </c>
      <c r="B407" t="s">
        <v>565</v>
      </c>
      <c r="C407" s="22" t="s">
        <v>1846</v>
      </c>
      <c r="D407" t="s">
        <v>1685</v>
      </c>
      <c r="E407" t="s">
        <v>1847</v>
      </c>
      <c r="F407" s="20">
        <v>43621</v>
      </c>
      <c r="G407" t="s">
        <v>1704</v>
      </c>
      <c r="H407" s="17" t="s">
        <v>1848</v>
      </c>
      <c r="I407" s="18"/>
      <c r="J407" t="s">
        <v>256</v>
      </c>
      <c r="K407" t="s">
        <v>1707</v>
      </c>
    </row>
    <row r="408" spans="1:11" x14ac:dyDescent="0.2">
      <c r="A408" t="s">
        <v>1856</v>
      </c>
      <c r="B408" t="s">
        <v>1013</v>
      </c>
      <c r="D408" t="s">
        <v>1857</v>
      </c>
      <c r="E408" t="s">
        <v>771</v>
      </c>
      <c r="F408" s="20">
        <v>43810</v>
      </c>
      <c r="G408" t="s">
        <v>1704</v>
      </c>
      <c r="H408" s="17" t="s">
        <v>1858</v>
      </c>
      <c r="I408" s="18"/>
      <c r="J408" t="s">
        <v>1859</v>
      </c>
      <c r="K408" t="s">
        <v>1860</v>
      </c>
    </row>
    <row r="409" spans="1:11" x14ac:dyDescent="0.2">
      <c r="A409" t="s">
        <v>1861</v>
      </c>
      <c r="B409" t="s">
        <v>1862</v>
      </c>
      <c r="D409" t="s">
        <v>120</v>
      </c>
      <c r="E409" t="s">
        <v>1863</v>
      </c>
      <c r="F409" s="20" t="s">
        <v>1864</v>
      </c>
      <c r="G409" t="s">
        <v>1482</v>
      </c>
      <c r="H409" s="17" t="s">
        <v>1865</v>
      </c>
      <c r="I409" s="18" t="s">
        <v>1484</v>
      </c>
      <c r="J409" t="s">
        <v>77</v>
      </c>
      <c r="K409" t="s">
        <v>78</v>
      </c>
    </row>
    <row r="410" spans="1:11" x14ac:dyDescent="0.2">
      <c r="A410" t="s">
        <v>1866</v>
      </c>
      <c r="B410" t="s">
        <v>92</v>
      </c>
      <c r="D410" t="s">
        <v>1867</v>
      </c>
      <c r="E410" t="s">
        <v>1868</v>
      </c>
      <c r="F410" s="20">
        <v>43345</v>
      </c>
      <c r="G410" t="s">
        <v>1873</v>
      </c>
      <c r="H410" s="17" t="s">
        <v>1874</v>
      </c>
      <c r="I410" s="18" t="s">
        <v>1869</v>
      </c>
      <c r="J410" t="s">
        <v>1870</v>
      </c>
      <c r="K410" t="s">
        <v>1871</v>
      </c>
    </row>
    <row r="411" spans="1:11" x14ac:dyDescent="0.2">
      <c r="A411" t="s">
        <v>1882</v>
      </c>
      <c r="B411" t="s">
        <v>1883</v>
      </c>
      <c r="C411" s="22" t="s">
        <v>1884</v>
      </c>
      <c r="D411" t="s">
        <v>111</v>
      </c>
      <c r="E411">
        <v>1007</v>
      </c>
      <c r="F411" s="20" t="s">
        <v>1885</v>
      </c>
      <c r="G411" t="s">
        <v>1453</v>
      </c>
      <c r="H411" s="17" t="s">
        <v>1886</v>
      </c>
      <c r="I411" s="18" t="s">
        <v>1887</v>
      </c>
      <c r="J411" t="s">
        <v>93</v>
      </c>
      <c r="K411" t="s">
        <v>78</v>
      </c>
    </row>
    <row r="412" spans="1:11" x14ac:dyDescent="0.2">
      <c r="A412" t="s">
        <v>1900</v>
      </c>
      <c r="B412" t="s">
        <v>904</v>
      </c>
      <c r="D412" t="s">
        <v>213</v>
      </c>
      <c r="E412" t="s">
        <v>481</v>
      </c>
      <c r="F412" s="20" t="s">
        <v>1901</v>
      </c>
      <c r="G412" t="s">
        <v>1873</v>
      </c>
      <c r="H412" s="17" t="s">
        <v>1902</v>
      </c>
      <c r="I412" s="18" t="s">
        <v>1903</v>
      </c>
      <c r="J412" t="s">
        <v>114</v>
      </c>
      <c r="K412" t="s">
        <v>755</v>
      </c>
    </row>
    <row r="413" spans="1:11" x14ac:dyDescent="0.2">
      <c r="A413" t="s">
        <v>1904</v>
      </c>
      <c r="B413" t="s">
        <v>1905</v>
      </c>
      <c r="D413" t="s">
        <v>131</v>
      </c>
      <c r="E413" t="s">
        <v>165</v>
      </c>
      <c r="F413" s="20" t="s">
        <v>1906</v>
      </c>
      <c r="G413" t="s">
        <v>1907</v>
      </c>
      <c r="H413" s="17" t="s">
        <v>1908</v>
      </c>
      <c r="I413" s="18" t="s">
        <v>1081</v>
      </c>
      <c r="J413" t="s">
        <v>93</v>
      </c>
      <c r="K413" t="s">
        <v>477</v>
      </c>
    </row>
    <row r="414" spans="1:11" x14ac:dyDescent="0.2">
      <c r="A414" t="s">
        <v>1909</v>
      </c>
      <c r="B414" t="s">
        <v>999</v>
      </c>
      <c r="D414" t="s">
        <v>228</v>
      </c>
      <c r="E414" t="s">
        <v>1480</v>
      </c>
      <c r="F414" s="20" t="s">
        <v>1910</v>
      </c>
      <c r="G414" t="s">
        <v>1911</v>
      </c>
      <c r="H414" s="17" t="s">
        <v>1912</v>
      </c>
      <c r="I414" s="18" t="s">
        <v>1484</v>
      </c>
      <c r="J414" t="s">
        <v>1913</v>
      </c>
      <c r="K414" t="s">
        <v>82</v>
      </c>
    </row>
    <row r="415" spans="1:11" x14ac:dyDescent="0.2">
      <c r="A415" t="s">
        <v>1926</v>
      </c>
      <c r="B415" t="s">
        <v>172</v>
      </c>
      <c r="D415" t="s">
        <v>111</v>
      </c>
      <c r="E415" t="s">
        <v>1931</v>
      </c>
      <c r="F415" s="20" t="s">
        <v>1932</v>
      </c>
      <c r="G415" t="s">
        <v>1704</v>
      </c>
      <c r="H415" s="17" t="s">
        <v>1933</v>
      </c>
      <c r="I415" s="18" t="s">
        <v>1104</v>
      </c>
      <c r="J415" t="s">
        <v>160</v>
      </c>
      <c r="K415" t="s">
        <v>94</v>
      </c>
    </row>
    <row r="416" spans="1:11" x14ac:dyDescent="0.2">
      <c r="A416" t="s">
        <v>1927</v>
      </c>
      <c r="B416" t="s">
        <v>172</v>
      </c>
      <c r="D416" t="s">
        <v>111</v>
      </c>
      <c r="E416">
        <v>208</v>
      </c>
      <c r="F416" s="20" t="s">
        <v>1928</v>
      </c>
      <c r="G416" t="s">
        <v>1929</v>
      </c>
      <c r="H416" s="17" t="s">
        <v>1930</v>
      </c>
      <c r="I416" s="18" t="s">
        <v>1289</v>
      </c>
      <c r="J416" t="s">
        <v>833</v>
      </c>
      <c r="K416" t="s">
        <v>94</v>
      </c>
    </row>
    <row r="417" spans="1:11" x14ac:dyDescent="0.2">
      <c r="A417" t="s">
        <v>1937</v>
      </c>
      <c r="B417" t="s">
        <v>1938</v>
      </c>
      <c r="C417" s="22" t="s">
        <v>1939</v>
      </c>
      <c r="D417" t="s">
        <v>111</v>
      </c>
      <c r="E417">
        <v>208</v>
      </c>
      <c r="F417" s="20" t="s">
        <v>1940</v>
      </c>
      <c r="G417" t="s">
        <v>1453</v>
      </c>
      <c r="H417" s="17" t="s">
        <v>1941</v>
      </c>
      <c r="I417" s="18" t="s">
        <v>1289</v>
      </c>
      <c r="J417" t="s">
        <v>532</v>
      </c>
      <c r="K417" t="s">
        <v>1942</v>
      </c>
    </row>
    <row r="418" spans="1:11" x14ac:dyDescent="0.2">
      <c r="A418" t="s">
        <v>1943</v>
      </c>
      <c r="B418" t="s">
        <v>1944</v>
      </c>
      <c r="D418" t="s">
        <v>1788</v>
      </c>
      <c r="E418" t="s">
        <v>1945</v>
      </c>
      <c r="F418" s="20">
        <v>38544</v>
      </c>
      <c r="G418" t="s">
        <v>1946</v>
      </c>
      <c r="H418" s="17" t="s">
        <v>1947</v>
      </c>
      <c r="I418" s="18" t="s">
        <v>1136</v>
      </c>
      <c r="J418" t="s">
        <v>204</v>
      </c>
      <c r="K418" t="s">
        <v>94</v>
      </c>
    </row>
    <row r="419" spans="1:11" x14ac:dyDescent="0.2">
      <c r="A419" t="s">
        <v>1968</v>
      </c>
      <c r="B419" t="s">
        <v>1969</v>
      </c>
      <c r="C419" s="22" t="s">
        <v>1970</v>
      </c>
      <c r="D419" t="s">
        <v>128</v>
      </c>
      <c r="E419" t="s">
        <v>1971</v>
      </c>
      <c r="F419" s="20">
        <v>41187</v>
      </c>
      <c r="G419" t="s">
        <v>1723</v>
      </c>
      <c r="H419" s="17" t="s">
        <v>1972</v>
      </c>
      <c r="I419" s="18" t="s">
        <v>1136</v>
      </c>
      <c r="J419" t="s">
        <v>1973</v>
      </c>
      <c r="K419" t="s">
        <v>1942</v>
      </c>
    </row>
    <row r="420" spans="1:11" x14ac:dyDescent="0.2">
      <c r="A420" t="s">
        <v>1975</v>
      </c>
      <c r="B420" t="s">
        <v>1976</v>
      </c>
      <c r="C420" s="22" t="s">
        <v>1977</v>
      </c>
      <c r="D420" t="s">
        <v>83</v>
      </c>
      <c r="E420" t="s">
        <v>1978</v>
      </c>
      <c r="F420" s="20">
        <v>38815</v>
      </c>
      <c r="G420" t="s">
        <v>1979</v>
      </c>
      <c r="H420" s="17" t="s">
        <v>1980</v>
      </c>
      <c r="I420" s="18" t="s">
        <v>1069</v>
      </c>
      <c r="J420" t="s">
        <v>1981</v>
      </c>
      <c r="K420" t="s">
        <v>1725</v>
      </c>
    </row>
    <row r="421" spans="1:11" x14ac:dyDescent="0.2">
      <c r="A421" t="s">
        <v>1983</v>
      </c>
      <c r="B421" t="s">
        <v>1984</v>
      </c>
      <c r="D421" t="s">
        <v>128</v>
      </c>
      <c r="E421" t="s">
        <v>1644</v>
      </c>
      <c r="F421" s="20" t="s">
        <v>1985</v>
      </c>
      <c r="G421" t="s">
        <v>1987</v>
      </c>
      <c r="H421" s="17" t="s">
        <v>1988</v>
      </c>
      <c r="I421" s="18" t="s">
        <v>1986</v>
      </c>
      <c r="J421" t="s">
        <v>1527</v>
      </c>
      <c r="K421" t="s">
        <v>302</v>
      </c>
    </row>
    <row r="422" spans="1:11" x14ac:dyDescent="0.2">
      <c r="A422" t="s">
        <v>1995</v>
      </c>
      <c r="B422" t="s">
        <v>1013</v>
      </c>
      <c r="D422" t="s">
        <v>399</v>
      </c>
      <c r="E422" t="s">
        <v>1996</v>
      </c>
      <c r="F422" s="20" t="s">
        <v>1997</v>
      </c>
      <c r="H422" s="17" t="s">
        <v>1998</v>
      </c>
      <c r="I422" s="18" t="s">
        <v>503</v>
      </c>
      <c r="J422" t="s">
        <v>1999</v>
      </c>
      <c r="K422" t="s">
        <v>2000</v>
      </c>
    </row>
    <row r="423" spans="1:11" x14ac:dyDescent="0.2">
      <c r="A423" t="s">
        <v>1992</v>
      </c>
      <c r="B423" t="s">
        <v>1013</v>
      </c>
      <c r="D423" t="s">
        <v>213</v>
      </c>
      <c r="E423" t="s">
        <v>1993</v>
      </c>
      <c r="F423" s="20" t="s">
        <v>1994</v>
      </c>
      <c r="G423" t="s">
        <v>2016</v>
      </c>
      <c r="H423" s="17" t="s">
        <v>2017</v>
      </c>
      <c r="I423" s="18"/>
      <c r="J423" t="s">
        <v>72</v>
      </c>
      <c r="K423" t="s">
        <v>115</v>
      </c>
    </row>
    <row r="424" spans="1:11" x14ac:dyDescent="0.2">
      <c r="A424" t="s">
        <v>2006</v>
      </c>
      <c r="B424" t="s">
        <v>1038</v>
      </c>
      <c r="D424" t="s">
        <v>213</v>
      </c>
      <c r="E424" t="s">
        <v>2007</v>
      </c>
      <c r="F424" s="20" t="s">
        <v>2008</v>
      </c>
      <c r="G424" t="s">
        <v>2009</v>
      </c>
      <c r="H424" s="17" t="s">
        <v>2010</v>
      </c>
      <c r="I424" s="18" t="s">
        <v>1869</v>
      </c>
      <c r="J424" t="s">
        <v>81</v>
      </c>
      <c r="K424" t="s">
        <v>2011</v>
      </c>
    </row>
    <row r="425" spans="1:11" x14ac:dyDescent="0.2">
      <c r="A425" t="s">
        <v>2012</v>
      </c>
      <c r="B425" t="s">
        <v>392</v>
      </c>
      <c r="D425" t="s">
        <v>128</v>
      </c>
      <c r="E425" t="s">
        <v>342</v>
      </c>
      <c r="F425" s="20">
        <v>43076</v>
      </c>
      <c r="G425" t="s">
        <v>1723</v>
      </c>
      <c r="H425" s="17" t="s">
        <v>2013</v>
      </c>
      <c r="I425" s="18" t="s">
        <v>1136</v>
      </c>
      <c r="J425" t="s">
        <v>204</v>
      </c>
      <c r="K425" t="s">
        <v>78</v>
      </c>
    </row>
    <row r="426" spans="1:11" x14ac:dyDescent="0.2">
      <c r="A426" t="s">
        <v>2018</v>
      </c>
      <c r="B426" t="s">
        <v>2019</v>
      </c>
      <c r="C426" s="22" t="s">
        <v>2020</v>
      </c>
      <c r="D426" t="s">
        <v>2021</v>
      </c>
      <c r="E426" t="s">
        <v>319</v>
      </c>
      <c r="F426" s="20" t="s">
        <v>2022</v>
      </c>
      <c r="G426" t="s">
        <v>1482</v>
      </c>
      <c r="H426" s="17" t="s">
        <v>2023</v>
      </c>
      <c r="I426" s="18" t="s">
        <v>1470</v>
      </c>
      <c r="J426" t="s">
        <v>455</v>
      </c>
      <c r="K426" t="s">
        <v>82</v>
      </c>
    </row>
    <row r="427" spans="1:11" x14ac:dyDescent="0.2">
      <c r="A427" t="s">
        <v>2030</v>
      </c>
      <c r="B427" t="s">
        <v>1013</v>
      </c>
      <c r="D427" t="s">
        <v>128</v>
      </c>
      <c r="E427" t="s">
        <v>342</v>
      </c>
      <c r="F427" s="20" t="s">
        <v>2031</v>
      </c>
      <c r="G427" t="s">
        <v>2035</v>
      </c>
      <c r="H427" s="17" t="s">
        <v>2032</v>
      </c>
      <c r="I427" s="18" t="s">
        <v>2033</v>
      </c>
      <c r="J427" t="s">
        <v>204</v>
      </c>
      <c r="K427" t="s">
        <v>302</v>
      </c>
    </row>
    <row r="428" spans="1:11" x14ac:dyDescent="0.2">
      <c r="A428" t="s">
        <v>2040</v>
      </c>
      <c r="B428" t="s">
        <v>2041</v>
      </c>
      <c r="C428" s="22" t="s">
        <v>2042</v>
      </c>
      <c r="D428" t="s">
        <v>128</v>
      </c>
      <c r="E428" t="s">
        <v>2043</v>
      </c>
      <c r="F428" s="20" t="s">
        <v>2044</v>
      </c>
      <c r="G428" t="s">
        <v>2045</v>
      </c>
      <c r="H428" s="17" t="s">
        <v>2046</v>
      </c>
      <c r="I428" s="18"/>
      <c r="J428" t="s">
        <v>81</v>
      </c>
      <c r="K428" t="s">
        <v>238</v>
      </c>
    </row>
    <row r="429" spans="1:11" x14ac:dyDescent="0.2">
      <c r="A429" t="s">
        <v>2050</v>
      </c>
      <c r="B429" t="s">
        <v>2051</v>
      </c>
      <c r="C429" s="22" t="s">
        <v>2052</v>
      </c>
      <c r="D429" t="s">
        <v>73</v>
      </c>
      <c r="E429" t="s">
        <v>2053</v>
      </c>
      <c r="F429" s="20">
        <v>41340</v>
      </c>
      <c r="G429" t="s">
        <v>1979</v>
      </c>
      <c r="H429" s="17" t="s">
        <v>2062</v>
      </c>
      <c r="I429" s="18" t="s">
        <v>2054</v>
      </c>
      <c r="J429" t="s">
        <v>72</v>
      </c>
      <c r="K429" t="s">
        <v>82</v>
      </c>
    </row>
    <row r="430" spans="1:11" x14ac:dyDescent="0.2">
      <c r="A430" t="s">
        <v>2055</v>
      </c>
      <c r="B430" t="s">
        <v>2056</v>
      </c>
      <c r="D430" t="s">
        <v>131</v>
      </c>
      <c r="E430" t="s">
        <v>2057</v>
      </c>
      <c r="F430" s="20" t="s">
        <v>2058</v>
      </c>
      <c r="G430" t="s">
        <v>1979</v>
      </c>
      <c r="H430" s="17" t="s">
        <v>2059</v>
      </c>
      <c r="I430" s="18" t="s">
        <v>2060</v>
      </c>
      <c r="J430" t="s">
        <v>93</v>
      </c>
      <c r="K430" t="s">
        <v>477</v>
      </c>
    </row>
    <row r="431" spans="1:11" x14ac:dyDescent="0.2">
      <c r="A431" s="21" t="s">
        <v>2073</v>
      </c>
      <c r="B431" t="s">
        <v>392</v>
      </c>
      <c r="D431" t="s">
        <v>111</v>
      </c>
      <c r="E431">
        <v>208</v>
      </c>
      <c r="F431" s="20" t="s">
        <v>2070</v>
      </c>
      <c r="G431" t="s">
        <v>1704</v>
      </c>
      <c r="H431" s="17" t="s">
        <v>2071</v>
      </c>
      <c r="I431" s="18" t="s">
        <v>1104</v>
      </c>
      <c r="J431" t="s">
        <v>2072</v>
      </c>
      <c r="K431" t="s">
        <v>94</v>
      </c>
    </row>
    <row r="432" spans="1:11" x14ac:dyDescent="0.2">
      <c r="A432" t="s">
        <v>2075</v>
      </c>
      <c r="B432" t="s">
        <v>2076</v>
      </c>
      <c r="D432" t="s">
        <v>111</v>
      </c>
      <c r="E432" t="s">
        <v>2077</v>
      </c>
      <c r="F432" s="20" t="s">
        <v>2008</v>
      </c>
      <c r="H432" s="17"/>
      <c r="I432" s="18" t="s">
        <v>2078</v>
      </c>
      <c r="J432" t="s">
        <v>573</v>
      </c>
      <c r="K432" t="s">
        <v>238</v>
      </c>
    </row>
    <row r="433" spans="1:11" x14ac:dyDescent="0.2">
      <c r="A433" t="s">
        <v>2079</v>
      </c>
      <c r="B433" t="s">
        <v>2080</v>
      </c>
      <c r="D433" t="s">
        <v>73</v>
      </c>
      <c r="E433" t="s">
        <v>2081</v>
      </c>
      <c r="F433" s="20" t="s">
        <v>2082</v>
      </c>
      <c r="G433" t="s">
        <v>2083</v>
      </c>
      <c r="H433" s="17" t="s">
        <v>2084</v>
      </c>
      <c r="I433" s="18" t="s">
        <v>2054</v>
      </c>
      <c r="J433" t="s">
        <v>2085</v>
      </c>
      <c r="K433" t="s">
        <v>2086</v>
      </c>
    </row>
    <row r="434" spans="1:11" x14ac:dyDescent="0.2">
      <c r="A434" t="s">
        <v>2089</v>
      </c>
      <c r="B434" t="s">
        <v>2090</v>
      </c>
      <c r="D434" t="s">
        <v>128</v>
      </c>
      <c r="E434" t="s">
        <v>342</v>
      </c>
      <c r="F434" s="20" t="s">
        <v>2091</v>
      </c>
      <c r="G434" t="s">
        <v>1459</v>
      </c>
      <c r="H434" s="17" t="s">
        <v>1526</v>
      </c>
      <c r="I434" s="18" t="s">
        <v>1173</v>
      </c>
      <c r="J434" t="s">
        <v>204</v>
      </c>
      <c r="K434" t="s">
        <v>302</v>
      </c>
    </row>
    <row r="435" spans="1:11" x14ac:dyDescent="0.2">
      <c r="A435" t="s">
        <v>2099</v>
      </c>
      <c r="B435" t="s">
        <v>2100</v>
      </c>
      <c r="C435" s="22" t="s">
        <v>2101</v>
      </c>
      <c r="D435" t="s">
        <v>131</v>
      </c>
      <c r="E435" t="s">
        <v>132</v>
      </c>
      <c r="F435" s="20">
        <v>40305</v>
      </c>
      <c r="G435" t="s">
        <v>1979</v>
      </c>
      <c r="H435" s="17" t="s">
        <v>2102</v>
      </c>
      <c r="I435" s="18" t="s">
        <v>2060</v>
      </c>
      <c r="J435" t="s">
        <v>130</v>
      </c>
      <c r="K435" t="s">
        <v>477</v>
      </c>
    </row>
    <row r="436" spans="1:11" x14ac:dyDescent="0.2">
      <c r="A436" t="s">
        <v>2111</v>
      </c>
      <c r="B436" t="s">
        <v>175</v>
      </c>
      <c r="D436" t="s">
        <v>131</v>
      </c>
      <c r="E436" t="s">
        <v>132</v>
      </c>
      <c r="F436" s="20" t="s">
        <v>2112</v>
      </c>
      <c r="G436" t="s">
        <v>2113</v>
      </c>
      <c r="H436" s="17" t="s">
        <v>2114</v>
      </c>
      <c r="I436" s="18" t="s">
        <v>1081</v>
      </c>
      <c r="J436" t="s">
        <v>130</v>
      </c>
      <c r="K436" t="s">
        <v>477</v>
      </c>
    </row>
    <row r="437" spans="1:11" x14ac:dyDescent="0.2">
      <c r="A437" t="s">
        <v>2118</v>
      </c>
      <c r="B437" t="s">
        <v>2119</v>
      </c>
      <c r="C437" s="22" t="s">
        <v>2120</v>
      </c>
      <c r="D437" t="s">
        <v>105</v>
      </c>
      <c r="E437" t="s">
        <v>300</v>
      </c>
      <c r="F437" s="20">
        <v>43377</v>
      </c>
      <c r="G437" t="s">
        <v>1482</v>
      </c>
      <c r="H437" s="17" t="s">
        <v>2121</v>
      </c>
      <c r="I437" s="18" t="s">
        <v>1484</v>
      </c>
      <c r="J437" t="s">
        <v>231</v>
      </c>
      <c r="K437" t="s">
        <v>1871</v>
      </c>
    </row>
    <row r="438" spans="1:11" x14ac:dyDescent="0.2">
      <c r="A438" t="s">
        <v>2124</v>
      </c>
      <c r="B438" t="s">
        <v>2125</v>
      </c>
      <c r="D438" t="s">
        <v>173</v>
      </c>
      <c r="E438" t="s">
        <v>174</v>
      </c>
      <c r="F438" s="20" t="s">
        <v>2126</v>
      </c>
      <c r="G438" t="s">
        <v>1482</v>
      </c>
      <c r="H438" s="17" t="s">
        <v>2127</v>
      </c>
      <c r="I438" s="18" t="s">
        <v>1555</v>
      </c>
      <c r="J438" t="s">
        <v>1792</v>
      </c>
      <c r="K438" t="s">
        <v>302</v>
      </c>
    </row>
    <row r="439" spans="1:11" x14ac:dyDescent="0.2">
      <c r="A439" t="s">
        <v>2128</v>
      </c>
      <c r="B439" t="s">
        <v>2129</v>
      </c>
      <c r="C439" s="22" t="s">
        <v>2130</v>
      </c>
      <c r="D439" t="s">
        <v>122</v>
      </c>
      <c r="E439" t="s">
        <v>2131</v>
      </c>
      <c r="F439" s="20">
        <v>39975</v>
      </c>
      <c r="G439" t="s">
        <v>1482</v>
      </c>
      <c r="H439" s="17" t="s">
        <v>2132</v>
      </c>
      <c r="I439" s="18" t="s">
        <v>1484</v>
      </c>
      <c r="J439" t="s">
        <v>77</v>
      </c>
      <c r="K439" t="s">
        <v>94</v>
      </c>
    </row>
    <row r="440" spans="1:11" x14ac:dyDescent="0.2">
      <c r="A440" t="s">
        <v>2134</v>
      </c>
      <c r="B440" t="s">
        <v>1013</v>
      </c>
      <c r="D440" t="s">
        <v>1788</v>
      </c>
      <c r="E440" t="s">
        <v>497</v>
      </c>
      <c r="F440" s="20" t="s">
        <v>2135</v>
      </c>
      <c r="G440" t="s">
        <v>2035</v>
      </c>
      <c r="H440" s="17" t="s">
        <v>1991</v>
      </c>
      <c r="I440" s="18" t="s">
        <v>1173</v>
      </c>
      <c r="J440" t="s">
        <v>2136</v>
      </c>
      <c r="K440" t="s">
        <v>1725</v>
      </c>
    </row>
    <row r="441" spans="1:11" x14ac:dyDescent="0.2">
      <c r="A441" t="s">
        <v>2139</v>
      </c>
      <c r="B441" t="s">
        <v>2140</v>
      </c>
      <c r="D441" t="s">
        <v>120</v>
      </c>
      <c r="E441" t="s">
        <v>379</v>
      </c>
      <c r="F441" s="20" t="s">
        <v>2141</v>
      </c>
      <c r="G441" t="s">
        <v>1482</v>
      </c>
      <c r="H441" s="17" t="s">
        <v>2142</v>
      </c>
      <c r="I441" s="18" t="s">
        <v>1484</v>
      </c>
      <c r="J441" t="s">
        <v>378</v>
      </c>
      <c r="K441" t="s">
        <v>94</v>
      </c>
    </row>
    <row r="442" spans="1:11" x14ac:dyDescent="0.2">
      <c r="A442" t="s">
        <v>2166</v>
      </c>
      <c r="B442" t="s">
        <v>2167</v>
      </c>
      <c r="C442" s="22" t="s">
        <v>2168</v>
      </c>
      <c r="D442" t="s">
        <v>232</v>
      </c>
      <c r="E442" t="s">
        <v>2169</v>
      </c>
      <c r="F442" s="20">
        <v>40065</v>
      </c>
      <c r="G442" t="s">
        <v>1825</v>
      </c>
      <c r="H442" s="17" t="s">
        <v>2170</v>
      </c>
      <c r="I442" s="18" t="s">
        <v>1869</v>
      </c>
      <c r="J442" t="s">
        <v>93</v>
      </c>
      <c r="K442" t="s">
        <v>78</v>
      </c>
    </row>
    <row r="443" spans="1:11" x14ac:dyDescent="0.2">
      <c r="A443" t="s">
        <v>2174</v>
      </c>
      <c r="B443" t="s">
        <v>2041</v>
      </c>
      <c r="C443" s="22" t="s">
        <v>2175</v>
      </c>
      <c r="D443" t="s">
        <v>128</v>
      </c>
      <c r="E443" t="s">
        <v>706</v>
      </c>
      <c r="F443" s="20">
        <v>39879</v>
      </c>
      <c r="G443" t="s">
        <v>1459</v>
      </c>
      <c r="H443" s="17">
        <v>4.5</v>
      </c>
      <c r="I443" s="18" t="s">
        <v>1136</v>
      </c>
      <c r="J443" t="s">
        <v>2176</v>
      </c>
      <c r="K443" t="s">
        <v>675</v>
      </c>
    </row>
    <row r="444" spans="1:11" x14ac:dyDescent="0.2">
      <c r="A444" t="s">
        <v>2183</v>
      </c>
      <c r="B444" t="s">
        <v>1472</v>
      </c>
      <c r="D444" t="s">
        <v>375</v>
      </c>
      <c r="E444" t="s">
        <v>2184</v>
      </c>
      <c r="F444" s="20">
        <v>42676</v>
      </c>
      <c r="G444" t="s">
        <v>2186</v>
      </c>
      <c r="H444" s="17" t="s">
        <v>1724</v>
      </c>
      <c r="I444" s="18" t="s">
        <v>2185</v>
      </c>
      <c r="J444" t="s">
        <v>114</v>
      </c>
      <c r="K444" t="s">
        <v>1707</v>
      </c>
    </row>
    <row r="445" spans="1:11" x14ac:dyDescent="0.2">
      <c r="A445" t="s">
        <v>2196</v>
      </c>
      <c r="B445" t="s">
        <v>1013</v>
      </c>
      <c r="D445" t="s">
        <v>437</v>
      </c>
      <c r="E445" t="s">
        <v>438</v>
      </c>
      <c r="F445" s="20">
        <v>42258</v>
      </c>
      <c r="G445" t="s">
        <v>2113</v>
      </c>
      <c r="H445" s="17" t="s">
        <v>2197</v>
      </c>
      <c r="I445" s="18" t="s">
        <v>1081</v>
      </c>
      <c r="J445" t="s">
        <v>476</v>
      </c>
      <c r="K445" t="s">
        <v>477</v>
      </c>
    </row>
    <row r="446" spans="1:11" x14ac:dyDescent="0.2">
      <c r="A446" t="s">
        <v>2199</v>
      </c>
      <c r="B446" t="s">
        <v>2200</v>
      </c>
      <c r="D446" t="s">
        <v>2201</v>
      </c>
      <c r="E446" t="s">
        <v>2202</v>
      </c>
      <c r="F446" s="20" t="s">
        <v>2203</v>
      </c>
      <c r="G446" t="s">
        <v>1482</v>
      </c>
      <c r="H446" s="17" t="s">
        <v>2204</v>
      </c>
      <c r="I446" s="18" t="s">
        <v>503</v>
      </c>
      <c r="J446" t="s">
        <v>2205</v>
      </c>
      <c r="K446" t="s">
        <v>847</v>
      </c>
    </row>
    <row r="447" spans="1:11" x14ac:dyDescent="0.2">
      <c r="A447" t="s">
        <v>2210</v>
      </c>
      <c r="B447" t="s">
        <v>2211</v>
      </c>
      <c r="C447" s="22" t="s">
        <v>2212</v>
      </c>
      <c r="D447" t="s">
        <v>128</v>
      </c>
      <c r="E447" t="s">
        <v>2213</v>
      </c>
      <c r="F447" s="20" t="s">
        <v>2214</v>
      </c>
      <c r="G447" t="s">
        <v>1723</v>
      </c>
      <c r="H447" s="17" t="s">
        <v>2215</v>
      </c>
      <c r="I447" s="18" t="s">
        <v>1136</v>
      </c>
      <c r="J447" t="s">
        <v>2216</v>
      </c>
      <c r="K447" t="s">
        <v>223</v>
      </c>
    </row>
    <row r="448" spans="1:11" x14ac:dyDescent="0.2">
      <c r="A448" t="s">
        <v>2229</v>
      </c>
      <c r="B448" t="s">
        <v>2230</v>
      </c>
      <c r="C448" s="22" t="s">
        <v>2231</v>
      </c>
      <c r="D448" t="s">
        <v>139</v>
      </c>
      <c r="E448" t="s">
        <v>2232</v>
      </c>
      <c r="F448" s="20" t="s">
        <v>2233</v>
      </c>
      <c r="G448" t="s">
        <v>1453</v>
      </c>
      <c r="H448" s="17" t="s">
        <v>2234</v>
      </c>
      <c r="I448" s="18" t="s">
        <v>1869</v>
      </c>
      <c r="J448" t="s">
        <v>256</v>
      </c>
      <c r="K448" t="s">
        <v>238</v>
      </c>
    </row>
    <row r="449" spans="1:11" x14ac:dyDescent="0.2">
      <c r="A449" t="s">
        <v>2239</v>
      </c>
      <c r="B449" t="s">
        <v>1013</v>
      </c>
      <c r="D449" t="s">
        <v>139</v>
      </c>
      <c r="E449" t="s">
        <v>2240</v>
      </c>
      <c r="F449" s="20" t="s">
        <v>2241</v>
      </c>
      <c r="G449" t="s">
        <v>1929</v>
      </c>
      <c r="H449" s="17" t="s">
        <v>2243</v>
      </c>
      <c r="I449" s="18" t="s">
        <v>1104</v>
      </c>
      <c r="J449" t="s">
        <v>256</v>
      </c>
      <c r="K449" t="s">
        <v>238</v>
      </c>
    </row>
    <row r="450" spans="1:11" x14ac:dyDescent="0.2">
      <c r="A450" t="s">
        <v>2242</v>
      </c>
      <c r="F450" s="20"/>
      <c r="G450" t="s">
        <v>1704</v>
      </c>
      <c r="H450" s="17" t="s">
        <v>1736</v>
      </c>
      <c r="I450" s="18"/>
      <c r="J450"/>
    </row>
    <row r="451" spans="1:11" x14ac:dyDescent="0.2">
      <c r="A451" t="s">
        <v>2246</v>
      </c>
      <c r="B451" t="s">
        <v>2247</v>
      </c>
      <c r="D451" t="s">
        <v>1788</v>
      </c>
      <c r="E451" t="s">
        <v>2248</v>
      </c>
      <c r="F451" s="20" t="s">
        <v>2249</v>
      </c>
      <c r="G451" t="s">
        <v>2250</v>
      </c>
      <c r="H451" s="17" t="s">
        <v>2251</v>
      </c>
      <c r="I451" s="18" t="s">
        <v>1555</v>
      </c>
      <c r="J451" t="s">
        <v>2252</v>
      </c>
      <c r="K451" t="s">
        <v>302</v>
      </c>
    </row>
    <row r="452" spans="1:11" x14ac:dyDescent="0.2">
      <c r="A452" t="s">
        <v>2253</v>
      </c>
      <c r="B452" t="s">
        <v>2254</v>
      </c>
      <c r="D452" t="s">
        <v>1685</v>
      </c>
      <c r="E452" t="s">
        <v>2255</v>
      </c>
      <c r="F452" s="20">
        <v>43411</v>
      </c>
      <c r="G452" t="s">
        <v>1929</v>
      </c>
      <c r="H452" s="17" t="s">
        <v>2256</v>
      </c>
      <c r="I452" s="18" t="s">
        <v>1706</v>
      </c>
      <c r="J452" t="s">
        <v>364</v>
      </c>
      <c r="K452" t="s">
        <v>238</v>
      </c>
    </row>
    <row r="453" spans="1:11" x14ac:dyDescent="0.2">
      <c r="A453" t="s">
        <v>2260</v>
      </c>
      <c r="B453" t="s">
        <v>2261</v>
      </c>
      <c r="C453" s="22" t="s">
        <v>2262</v>
      </c>
      <c r="D453" t="s">
        <v>375</v>
      </c>
      <c r="E453">
        <v>500</v>
      </c>
      <c r="F453" s="20" t="s">
        <v>2263</v>
      </c>
      <c r="G453" t="s">
        <v>2264</v>
      </c>
      <c r="H453" s="17" t="s">
        <v>2265</v>
      </c>
      <c r="I453" s="18" t="s">
        <v>1136</v>
      </c>
      <c r="J453" t="s">
        <v>2266</v>
      </c>
      <c r="K453" t="s">
        <v>302</v>
      </c>
    </row>
    <row r="454" spans="1:11" x14ac:dyDescent="0.2">
      <c r="A454" t="s">
        <v>2267</v>
      </c>
      <c r="B454" t="s">
        <v>1013</v>
      </c>
      <c r="D454" t="s">
        <v>210</v>
      </c>
      <c r="E454" t="s">
        <v>2268</v>
      </c>
      <c r="F454" s="20" t="s">
        <v>2269</v>
      </c>
      <c r="G454" t="s">
        <v>1825</v>
      </c>
      <c r="H454" s="17" t="s">
        <v>2243</v>
      </c>
      <c r="I454" s="18" t="s">
        <v>1957</v>
      </c>
      <c r="J454" t="s">
        <v>72</v>
      </c>
      <c r="K454" t="s">
        <v>238</v>
      </c>
    </row>
    <row r="455" spans="1:11" x14ac:dyDescent="0.2">
      <c r="A455" t="s">
        <v>2270</v>
      </c>
      <c r="B455" t="s">
        <v>1013</v>
      </c>
      <c r="D455" t="s">
        <v>2271</v>
      </c>
      <c r="E455" t="s">
        <v>2272</v>
      </c>
      <c r="F455" s="20" t="s">
        <v>2112</v>
      </c>
      <c r="G455" t="s">
        <v>2273</v>
      </c>
      <c r="H455" s="17" t="s">
        <v>2274</v>
      </c>
      <c r="I455" s="18"/>
      <c r="J455" t="s">
        <v>81</v>
      </c>
      <c r="K455" t="s">
        <v>1725</v>
      </c>
    </row>
    <row r="456" spans="1:11" x14ac:dyDescent="0.2">
      <c r="A456" t="s">
        <v>2278</v>
      </c>
      <c r="B456" t="s">
        <v>2279</v>
      </c>
      <c r="D456" t="s">
        <v>232</v>
      </c>
      <c r="E456" t="s">
        <v>2280</v>
      </c>
      <c r="F456" s="20">
        <v>43618</v>
      </c>
      <c r="G456" t="s">
        <v>2264</v>
      </c>
      <c r="H456" s="17" t="s">
        <v>2281</v>
      </c>
      <c r="I456" s="18" t="s">
        <v>1173</v>
      </c>
      <c r="J456" t="s">
        <v>93</v>
      </c>
      <c r="K456" t="s">
        <v>302</v>
      </c>
    </row>
    <row r="457" spans="1:11" x14ac:dyDescent="0.2">
      <c r="A457" t="s">
        <v>2285</v>
      </c>
      <c r="B457" t="s">
        <v>2286</v>
      </c>
      <c r="C457" s="22" t="s">
        <v>2287</v>
      </c>
      <c r="D457" t="s">
        <v>1788</v>
      </c>
      <c r="E457" t="s">
        <v>208</v>
      </c>
      <c r="F457" s="20" t="s">
        <v>2288</v>
      </c>
      <c r="G457" t="s">
        <v>2289</v>
      </c>
      <c r="H457" s="17" t="s">
        <v>2290</v>
      </c>
      <c r="I457" s="18" t="s">
        <v>1136</v>
      </c>
      <c r="J457" t="s">
        <v>207</v>
      </c>
      <c r="K457" t="s">
        <v>2291</v>
      </c>
    </row>
    <row r="458" spans="1:11" x14ac:dyDescent="0.2">
      <c r="A458" t="s">
        <v>2293</v>
      </c>
      <c r="B458" t="s">
        <v>551</v>
      </c>
      <c r="D458" t="s">
        <v>213</v>
      </c>
      <c r="E458" t="s">
        <v>2294</v>
      </c>
      <c r="F458" s="20">
        <v>40613</v>
      </c>
      <c r="G458" t="s">
        <v>2181</v>
      </c>
      <c r="H458" s="17" t="s">
        <v>2295</v>
      </c>
      <c r="I458" s="18" t="s">
        <v>1104</v>
      </c>
      <c r="J458" t="s">
        <v>256</v>
      </c>
      <c r="K458" t="s">
        <v>115</v>
      </c>
    </row>
    <row r="459" spans="1:11" x14ac:dyDescent="0.2">
      <c r="A459" t="s">
        <v>2301</v>
      </c>
      <c r="B459" t="s">
        <v>425</v>
      </c>
      <c r="D459" t="s">
        <v>1685</v>
      </c>
      <c r="E459">
        <v>208</v>
      </c>
      <c r="F459" s="20" t="s">
        <v>2302</v>
      </c>
      <c r="G459" t="s">
        <v>1704</v>
      </c>
      <c r="H459" s="17" t="s">
        <v>1705</v>
      </c>
      <c r="I459" s="18" t="s">
        <v>1104</v>
      </c>
      <c r="J459" t="s">
        <v>2305</v>
      </c>
      <c r="K459" t="s">
        <v>94</v>
      </c>
    </row>
    <row r="460" spans="1:11" x14ac:dyDescent="0.2">
      <c r="A460" t="s">
        <v>2311</v>
      </c>
      <c r="B460" t="s">
        <v>2312</v>
      </c>
      <c r="D460" t="s">
        <v>2313</v>
      </c>
      <c r="E460" t="s">
        <v>2314</v>
      </c>
      <c r="F460" s="20" t="s">
        <v>2315</v>
      </c>
      <c r="G460" t="s">
        <v>1453</v>
      </c>
      <c r="H460" s="17" t="s">
        <v>2316</v>
      </c>
      <c r="I460" s="18" t="s">
        <v>2060</v>
      </c>
      <c r="J460" t="s">
        <v>2317</v>
      </c>
      <c r="K460" t="s">
        <v>2318</v>
      </c>
    </row>
    <row r="461" spans="1:11" x14ac:dyDescent="0.2">
      <c r="A461" t="s">
        <v>2328</v>
      </c>
      <c r="B461" t="s">
        <v>1472</v>
      </c>
      <c r="D461" t="s">
        <v>2329</v>
      </c>
      <c r="E461" t="s">
        <v>2330</v>
      </c>
      <c r="F461" s="20" t="s">
        <v>2331</v>
      </c>
      <c r="G461" t="s">
        <v>2113</v>
      </c>
      <c r="H461" s="17" t="s">
        <v>2332</v>
      </c>
      <c r="I461" s="18" t="s">
        <v>1104</v>
      </c>
      <c r="J461" t="s">
        <v>2333</v>
      </c>
      <c r="K461" t="s">
        <v>1942</v>
      </c>
    </row>
    <row r="462" spans="1:11" x14ac:dyDescent="0.2">
      <c r="A462" t="s">
        <v>2336</v>
      </c>
      <c r="B462" t="s">
        <v>2337</v>
      </c>
      <c r="C462" s="22" t="s">
        <v>2338</v>
      </c>
      <c r="D462" t="s">
        <v>213</v>
      </c>
      <c r="E462" t="s">
        <v>2339</v>
      </c>
      <c r="F462" s="20">
        <v>38180</v>
      </c>
      <c r="G462" t="s">
        <v>2181</v>
      </c>
      <c r="H462" s="17" t="s">
        <v>2340</v>
      </c>
      <c r="I462" s="18" t="s">
        <v>1834</v>
      </c>
      <c r="J462" t="s">
        <v>93</v>
      </c>
      <c r="K462" t="s">
        <v>78</v>
      </c>
    </row>
    <row r="463" spans="1:11" x14ac:dyDescent="0.2">
      <c r="A463" t="s">
        <v>2341</v>
      </c>
      <c r="B463" t="s">
        <v>2342</v>
      </c>
      <c r="D463" t="s">
        <v>135</v>
      </c>
      <c r="E463" t="s">
        <v>701</v>
      </c>
      <c r="F463" s="20">
        <v>40700</v>
      </c>
      <c r="G463" t="s">
        <v>2343</v>
      </c>
      <c r="H463" s="17" t="s">
        <v>2344</v>
      </c>
      <c r="I463" s="18" t="s">
        <v>1484</v>
      </c>
      <c r="J463">
        <v>25</v>
      </c>
      <c r="K463" t="s">
        <v>2345</v>
      </c>
    </row>
    <row r="464" spans="1:11" x14ac:dyDescent="0.2">
      <c r="A464" t="s">
        <v>2360</v>
      </c>
      <c r="B464" t="s">
        <v>2361</v>
      </c>
      <c r="D464" t="s">
        <v>2362</v>
      </c>
      <c r="E464" t="s">
        <v>191</v>
      </c>
      <c r="F464" s="20" t="s">
        <v>2363</v>
      </c>
      <c r="G464" t="s">
        <v>1467</v>
      </c>
      <c r="H464" s="17" t="s">
        <v>2364</v>
      </c>
      <c r="I464" s="18" t="s">
        <v>1093</v>
      </c>
      <c r="J464" t="s">
        <v>805</v>
      </c>
      <c r="K464" t="s">
        <v>1871</v>
      </c>
    </row>
    <row r="465" spans="1:11" x14ac:dyDescent="0.2">
      <c r="A465" t="s">
        <v>2378</v>
      </c>
      <c r="B465" t="s">
        <v>2379</v>
      </c>
      <c r="D465" t="s">
        <v>135</v>
      </c>
      <c r="E465" t="s">
        <v>2380</v>
      </c>
      <c r="F465" s="20">
        <v>44111</v>
      </c>
      <c r="G465" t="s">
        <v>1459</v>
      </c>
      <c r="H465" s="17" t="s">
        <v>2381</v>
      </c>
      <c r="I465" s="18" t="s">
        <v>1986</v>
      </c>
      <c r="J465" t="s">
        <v>2382</v>
      </c>
      <c r="K465" t="s">
        <v>2383</v>
      </c>
    </row>
    <row r="466" spans="1:11" x14ac:dyDescent="0.2">
      <c r="A466" t="s">
        <v>2388</v>
      </c>
      <c r="B466" t="s">
        <v>2389</v>
      </c>
      <c r="D466" t="s">
        <v>2390</v>
      </c>
      <c r="E466" t="s">
        <v>2391</v>
      </c>
      <c r="F466" s="20">
        <v>39630</v>
      </c>
      <c r="G466" t="s">
        <v>1482</v>
      </c>
      <c r="H466" s="17" t="s">
        <v>2392</v>
      </c>
      <c r="I466" s="18" t="s">
        <v>1484</v>
      </c>
      <c r="J466" t="s">
        <v>2393</v>
      </c>
      <c r="K466" t="s">
        <v>256</v>
      </c>
    </row>
    <row r="467" spans="1:11" x14ac:dyDescent="0.2">
      <c r="A467" t="s">
        <v>2396</v>
      </c>
      <c r="B467" t="s">
        <v>2397</v>
      </c>
      <c r="D467" t="s">
        <v>111</v>
      </c>
      <c r="E467">
        <v>307</v>
      </c>
      <c r="F467" s="20" t="s">
        <v>2398</v>
      </c>
      <c r="G467" t="s">
        <v>1453</v>
      </c>
      <c r="H467" s="17">
        <v>3</v>
      </c>
      <c r="I467" s="18" t="s">
        <v>1484</v>
      </c>
      <c r="J467" t="s">
        <v>160</v>
      </c>
      <c r="K467" t="s">
        <v>94</v>
      </c>
    </row>
    <row r="468" spans="1:11" x14ac:dyDescent="0.2">
      <c r="A468" t="s">
        <v>2403</v>
      </c>
      <c r="B468" t="s">
        <v>2404</v>
      </c>
      <c r="D468" t="s">
        <v>73</v>
      </c>
      <c r="E468" t="s">
        <v>2405</v>
      </c>
      <c r="F468" s="20">
        <v>41314</v>
      </c>
      <c r="G468" s="21" t="s">
        <v>1631</v>
      </c>
      <c r="H468" s="17" t="s">
        <v>2406</v>
      </c>
      <c r="I468" s="18" t="s">
        <v>2054</v>
      </c>
      <c r="J468" t="s">
        <v>2407</v>
      </c>
      <c r="K468" t="s">
        <v>1871</v>
      </c>
    </row>
    <row r="469" spans="1:11" x14ac:dyDescent="0.2">
      <c r="A469" t="s">
        <v>2412</v>
      </c>
      <c r="B469" t="s">
        <v>2413</v>
      </c>
      <c r="C469" s="22" t="s">
        <v>2414</v>
      </c>
      <c r="D469" t="s">
        <v>1867</v>
      </c>
      <c r="E469" t="s">
        <v>2415</v>
      </c>
      <c r="F469" s="20">
        <v>42286</v>
      </c>
      <c r="G469" t="s">
        <v>2181</v>
      </c>
      <c r="H469" s="17" t="s">
        <v>2416</v>
      </c>
      <c r="I469" s="18" t="s">
        <v>1136</v>
      </c>
      <c r="J469" t="s">
        <v>256</v>
      </c>
      <c r="K469" t="s">
        <v>115</v>
      </c>
    </row>
    <row r="470" spans="1:11" x14ac:dyDescent="0.2">
      <c r="A470" s="21" t="s">
        <v>2422</v>
      </c>
      <c r="B470" t="s">
        <v>2419</v>
      </c>
      <c r="D470" t="s">
        <v>73</v>
      </c>
      <c r="E470" t="s">
        <v>2420</v>
      </c>
      <c r="F470" s="20" t="s">
        <v>2421</v>
      </c>
      <c r="G470" s="21" t="s">
        <v>2423</v>
      </c>
      <c r="H470" s="17" t="s">
        <v>2084</v>
      </c>
      <c r="I470" s="18" t="s">
        <v>1104</v>
      </c>
      <c r="J470" t="s">
        <v>130</v>
      </c>
      <c r="K470" t="s">
        <v>1871</v>
      </c>
    </row>
    <row r="471" spans="1:11" x14ac:dyDescent="0.2">
      <c r="A471" t="s">
        <v>2429</v>
      </c>
      <c r="B471" t="s">
        <v>2430</v>
      </c>
      <c r="C471" s="22" t="s">
        <v>2431</v>
      </c>
      <c r="D471" t="s">
        <v>111</v>
      </c>
      <c r="E471">
        <v>308</v>
      </c>
      <c r="F471" s="20" t="s">
        <v>2432</v>
      </c>
      <c r="G471" t="s">
        <v>1929</v>
      </c>
      <c r="H471" s="17" t="s">
        <v>2433</v>
      </c>
      <c r="I471" s="18"/>
      <c r="J471" t="s">
        <v>2434</v>
      </c>
      <c r="K471" t="s">
        <v>2435</v>
      </c>
    </row>
    <row r="472" spans="1:11" x14ac:dyDescent="0.2">
      <c r="A472" t="s">
        <v>2446</v>
      </c>
      <c r="B472" t="s">
        <v>2447</v>
      </c>
      <c r="D472" t="s">
        <v>2271</v>
      </c>
      <c r="E472" t="s">
        <v>2448</v>
      </c>
      <c r="F472" s="20" t="s">
        <v>2449</v>
      </c>
      <c r="G472" t="s">
        <v>2450</v>
      </c>
      <c r="H472" s="17" t="s">
        <v>2451</v>
      </c>
      <c r="I472" s="18"/>
      <c r="J472" t="s">
        <v>72</v>
      </c>
      <c r="K472" t="s">
        <v>2452</v>
      </c>
    </row>
    <row r="473" spans="1:11" x14ac:dyDescent="0.2">
      <c r="A473" t="s">
        <v>2453</v>
      </c>
      <c r="B473" t="s">
        <v>392</v>
      </c>
      <c r="D473" t="s">
        <v>173</v>
      </c>
      <c r="E473" t="s">
        <v>504</v>
      </c>
      <c r="F473" s="20" t="s">
        <v>2454</v>
      </c>
      <c r="G473" t="s">
        <v>1735</v>
      </c>
      <c r="H473" s="17" t="s">
        <v>2455</v>
      </c>
      <c r="I473" s="18" t="s">
        <v>503</v>
      </c>
      <c r="J473" t="s">
        <v>2456</v>
      </c>
      <c r="K473" t="s">
        <v>1725</v>
      </c>
    </row>
    <row r="474" spans="1:11" x14ac:dyDescent="0.2">
      <c r="A474" t="s">
        <v>2457</v>
      </c>
      <c r="B474" t="s">
        <v>2458</v>
      </c>
      <c r="D474" t="s">
        <v>139</v>
      </c>
      <c r="E474" t="s">
        <v>2459</v>
      </c>
      <c r="F474" s="20" t="s">
        <v>2460</v>
      </c>
      <c r="G474" t="s">
        <v>1735</v>
      </c>
      <c r="H474" s="17" t="s">
        <v>2461</v>
      </c>
      <c r="I474" s="18" t="s">
        <v>1104</v>
      </c>
      <c r="J474" t="s">
        <v>114</v>
      </c>
      <c r="K474" t="s">
        <v>1707</v>
      </c>
    </row>
    <row r="475" spans="1:11" x14ac:dyDescent="0.2">
      <c r="A475" t="s">
        <v>2470</v>
      </c>
      <c r="B475" t="s">
        <v>2471</v>
      </c>
      <c r="C475" s="22" t="s">
        <v>2472</v>
      </c>
      <c r="D475" t="s">
        <v>232</v>
      </c>
      <c r="E475" t="s">
        <v>2473</v>
      </c>
      <c r="F475" s="20">
        <v>41707</v>
      </c>
      <c r="G475" t="s">
        <v>1723</v>
      </c>
      <c r="H475" s="17" t="s">
        <v>2474</v>
      </c>
      <c r="I475" s="18" t="s">
        <v>1136</v>
      </c>
      <c r="J475" t="s">
        <v>231</v>
      </c>
      <c r="K475" t="s">
        <v>82</v>
      </c>
    </row>
    <row r="476" spans="1:11" x14ac:dyDescent="0.2">
      <c r="A476" t="s">
        <v>2490</v>
      </c>
      <c r="B476" t="s">
        <v>2491</v>
      </c>
      <c r="C476" s="22" t="s">
        <v>2492</v>
      </c>
      <c r="D476" t="s">
        <v>139</v>
      </c>
      <c r="E476" t="s">
        <v>2493</v>
      </c>
      <c r="F476" s="20">
        <v>40433</v>
      </c>
      <c r="G476" t="s">
        <v>1735</v>
      </c>
      <c r="H476" s="17" t="s">
        <v>2494</v>
      </c>
      <c r="I476" s="18" t="s">
        <v>1869</v>
      </c>
      <c r="J476" t="s">
        <v>158</v>
      </c>
      <c r="K476" t="s">
        <v>1725</v>
      </c>
    </row>
    <row r="477" spans="1:11" x14ac:dyDescent="0.2">
      <c r="A477" t="s">
        <v>2497</v>
      </c>
      <c r="B477" t="s">
        <v>2498</v>
      </c>
      <c r="D477" t="s">
        <v>2499</v>
      </c>
      <c r="E477" t="s">
        <v>268</v>
      </c>
      <c r="F477" s="20" t="s">
        <v>2500</v>
      </c>
      <c r="G477" t="s">
        <v>2501</v>
      </c>
      <c r="H477" s="17" t="s">
        <v>2502</v>
      </c>
      <c r="I477" s="18" t="s">
        <v>1484</v>
      </c>
      <c r="J477" t="s">
        <v>2503</v>
      </c>
      <c r="K477" t="s">
        <v>2504</v>
      </c>
    </row>
    <row r="478" spans="1:11" x14ac:dyDescent="0.2">
      <c r="A478" t="s">
        <v>2508</v>
      </c>
      <c r="B478" t="s">
        <v>2509</v>
      </c>
      <c r="D478" t="s">
        <v>135</v>
      </c>
      <c r="E478" t="s">
        <v>701</v>
      </c>
      <c r="F478" s="20" t="s">
        <v>2510</v>
      </c>
      <c r="G478" t="s">
        <v>2511</v>
      </c>
      <c r="H478" s="17" t="s">
        <v>2512</v>
      </c>
      <c r="I478" s="18" t="s">
        <v>1484</v>
      </c>
      <c r="J478" t="s">
        <v>98</v>
      </c>
      <c r="K478" t="s">
        <v>2513</v>
      </c>
    </row>
    <row r="479" spans="1:11" x14ac:dyDescent="0.2">
      <c r="A479" t="s">
        <v>2523</v>
      </c>
      <c r="B479" t="s">
        <v>2524</v>
      </c>
      <c r="D479" t="s">
        <v>1788</v>
      </c>
      <c r="E479" t="s">
        <v>2043</v>
      </c>
      <c r="F479" s="20" t="s">
        <v>2525</v>
      </c>
      <c r="G479" t="s">
        <v>1467</v>
      </c>
      <c r="H479" s="17" t="s">
        <v>2526</v>
      </c>
      <c r="I479" s="18" t="s">
        <v>1289</v>
      </c>
      <c r="J479" t="s">
        <v>2527</v>
      </c>
      <c r="K479" t="s">
        <v>1707</v>
      </c>
    </row>
    <row r="480" spans="1:11" x14ac:dyDescent="0.2">
      <c r="A480" t="s">
        <v>2536</v>
      </c>
      <c r="B480" t="s">
        <v>373</v>
      </c>
      <c r="D480" t="s">
        <v>128</v>
      </c>
      <c r="E480" t="s">
        <v>2538</v>
      </c>
      <c r="F480" s="20" t="s">
        <v>2539</v>
      </c>
      <c r="G480" t="s">
        <v>2541</v>
      </c>
      <c r="H480" s="17" t="s">
        <v>2540</v>
      </c>
      <c r="I480" s="18" t="s">
        <v>1173</v>
      </c>
      <c r="J480" t="s">
        <v>204</v>
      </c>
      <c r="K480" t="s">
        <v>302</v>
      </c>
    </row>
    <row r="481" spans="1:11" x14ac:dyDescent="0.2">
      <c r="A481" t="s">
        <v>2542</v>
      </c>
      <c r="B481" t="s">
        <v>1013</v>
      </c>
      <c r="D481" t="s">
        <v>228</v>
      </c>
      <c r="E481" t="s">
        <v>2543</v>
      </c>
      <c r="F481" s="20" t="s">
        <v>2544</v>
      </c>
      <c r="G481" t="s">
        <v>2264</v>
      </c>
      <c r="H481" s="17" t="s">
        <v>2545</v>
      </c>
      <c r="I481" s="18" t="s">
        <v>1470</v>
      </c>
      <c r="J481" t="s">
        <v>378</v>
      </c>
      <c r="K481" t="s">
        <v>2546</v>
      </c>
    </row>
    <row r="482" spans="1:11" x14ac:dyDescent="0.2">
      <c r="A482" t="s">
        <v>2552</v>
      </c>
      <c r="B482" t="s">
        <v>2553</v>
      </c>
      <c r="C482" s="22" t="s">
        <v>2554</v>
      </c>
      <c r="D482" t="s">
        <v>173</v>
      </c>
      <c r="E482" t="s">
        <v>174</v>
      </c>
      <c r="F482" s="20" t="s">
        <v>2555</v>
      </c>
      <c r="G482" t="s">
        <v>2511</v>
      </c>
      <c r="H482" s="17" t="s">
        <v>2556</v>
      </c>
      <c r="I482" s="18" t="s">
        <v>1986</v>
      </c>
      <c r="J482" t="s">
        <v>1792</v>
      </c>
      <c r="K482" t="s">
        <v>1725</v>
      </c>
    </row>
    <row r="483" spans="1:11" x14ac:dyDescent="0.2">
      <c r="A483" t="s">
        <v>2567</v>
      </c>
      <c r="B483" t="s">
        <v>899</v>
      </c>
      <c r="D483" t="s">
        <v>122</v>
      </c>
      <c r="E483" t="s">
        <v>123</v>
      </c>
      <c r="F483" s="20" t="s">
        <v>2568</v>
      </c>
      <c r="G483" t="s">
        <v>899</v>
      </c>
      <c r="H483" s="17" t="s">
        <v>1483</v>
      </c>
      <c r="I483" s="18" t="s">
        <v>1484</v>
      </c>
      <c r="J483" t="s">
        <v>2569</v>
      </c>
      <c r="K483" t="s">
        <v>2570</v>
      </c>
    </row>
    <row r="484" spans="1:11" x14ac:dyDescent="0.2">
      <c r="A484" t="s">
        <v>2571</v>
      </c>
      <c r="B484" t="s">
        <v>2572</v>
      </c>
      <c r="C484" s="22" t="s">
        <v>2573</v>
      </c>
      <c r="D484" t="s">
        <v>122</v>
      </c>
      <c r="E484" t="s">
        <v>332</v>
      </c>
      <c r="F484" s="20">
        <v>39758</v>
      </c>
      <c r="G484" t="s">
        <v>1482</v>
      </c>
      <c r="H484" s="17" t="s">
        <v>2574</v>
      </c>
      <c r="I484" s="18" t="s">
        <v>1484</v>
      </c>
      <c r="J484" t="s">
        <v>2575</v>
      </c>
      <c r="K484" t="s">
        <v>456</v>
      </c>
    </row>
    <row r="485" spans="1:11" x14ac:dyDescent="0.2">
      <c r="A485" t="s">
        <v>2580</v>
      </c>
      <c r="B485" t="s">
        <v>2581</v>
      </c>
      <c r="D485" t="s">
        <v>139</v>
      </c>
      <c r="E485" t="s">
        <v>549</v>
      </c>
      <c r="F485" s="20">
        <v>37601</v>
      </c>
      <c r="G485" t="s">
        <v>1735</v>
      </c>
      <c r="H485" s="17" t="s">
        <v>2494</v>
      </c>
      <c r="I485" s="18" t="s">
        <v>1484</v>
      </c>
      <c r="J485" t="s">
        <v>158</v>
      </c>
      <c r="K485" t="s">
        <v>1725</v>
      </c>
    </row>
    <row r="486" spans="1:11" x14ac:dyDescent="0.2">
      <c r="A486" t="s">
        <v>2604</v>
      </c>
      <c r="B486" t="s">
        <v>2605</v>
      </c>
      <c r="C486" s="22" t="s">
        <v>2606</v>
      </c>
      <c r="D486" t="s">
        <v>128</v>
      </c>
      <c r="E486" t="s">
        <v>342</v>
      </c>
      <c r="F486" s="20" t="s">
        <v>2607</v>
      </c>
      <c r="G486" t="s">
        <v>2608</v>
      </c>
      <c r="H486" s="17" t="s">
        <v>2609</v>
      </c>
      <c r="I486" s="18" t="s">
        <v>1173</v>
      </c>
      <c r="J486" t="s">
        <v>204</v>
      </c>
      <c r="K486" t="s">
        <v>2610</v>
      </c>
    </row>
    <row r="487" spans="1:11" x14ac:dyDescent="0.2">
      <c r="A487" t="s">
        <v>2611</v>
      </c>
      <c r="B487" t="s">
        <v>2612</v>
      </c>
      <c r="C487" s="22" t="s">
        <v>2613</v>
      </c>
      <c r="D487" t="s">
        <v>399</v>
      </c>
      <c r="E487" t="s">
        <v>2614</v>
      </c>
      <c r="F487" s="20" t="s">
        <v>2615</v>
      </c>
      <c r="G487" t="s">
        <v>1467</v>
      </c>
      <c r="H487" s="17" t="s">
        <v>1554</v>
      </c>
      <c r="I487" s="18" t="s">
        <v>1555</v>
      </c>
      <c r="J487" t="s">
        <v>2616</v>
      </c>
      <c r="K487" t="s">
        <v>2616</v>
      </c>
    </row>
    <row r="488" spans="1:11" x14ac:dyDescent="0.2">
      <c r="A488" t="s">
        <v>2628</v>
      </c>
      <c r="B488" t="s">
        <v>2629</v>
      </c>
      <c r="C488" s="22" t="s">
        <v>2630</v>
      </c>
      <c r="D488" t="s">
        <v>210</v>
      </c>
      <c r="E488" t="s">
        <v>2631</v>
      </c>
      <c r="F488" s="20">
        <v>39517</v>
      </c>
      <c r="G488" t="s">
        <v>2608</v>
      </c>
      <c r="H488" s="17" t="s">
        <v>2632</v>
      </c>
      <c r="I488" s="18" t="s">
        <v>1136</v>
      </c>
      <c r="J488" t="s">
        <v>77</v>
      </c>
      <c r="K488" t="s">
        <v>302</v>
      </c>
    </row>
    <row r="489" spans="1:11" x14ac:dyDescent="0.2">
      <c r="A489" t="s">
        <v>2646</v>
      </c>
      <c r="B489" t="s">
        <v>2647</v>
      </c>
      <c r="C489" s="22" t="s">
        <v>2648</v>
      </c>
      <c r="D489" t="s">
        <v>1685</v>
      </c>
      <c r="E489">
        <v>308</v>
      </c>
      <c r="F489" s="20" t="s">
        <v>2649</v>
      </c>
      <c r="G489" t="s">
        <v>1453</v>
      </c>
      <c r="H489" s="17" t="s">
        <v>2650</v>
      </c>
      <c r="I489" s="18" t="s">
        <v>1104</v>
      </c>
      <c r="J489" t="s">
        <v>2651</v>
      </c>
      <c r="K489" t="s">
        <v>2652</v>
      </c>
    </row>
    <row r="490" spans="1:11" x14ac:dyDescent="0.2">
      <c r="A490" t="s">
        <v>2658</v>
      </c>
      <c r="B490" t="s">
        <v>2659</v>
      </c>
      <c r="C490" s="22" t="s">
        <v>2660</v>
      </c>
      <c r="D490" t="s">
        <v>2661</v>
      </c>
      <c r="E490" t="s">
        <v>2662</v>
      </c>
      <c r="F490" s="20" t="s">
        <v>2663</v>
      </c>
      <c r="G490" t="s">
        <v>1929</v>
      </c>
      <c r="H490" s="17" t="s">
        <v>2664</v>
      </c>
      <c r="I490" s="18" t="s">
        <v>1153</v>
      </c>
      <c r="J490" t="s">
        <v>72</v>
      </c>
      <c r="K490" t="s">
        <v>115</v>
      </c>
    </row>
    <row r="491" spans="1:11" x14ac:dyDescent="0.2">
      <c r="A491" t="s">
        <v>2669</v>
      </c>
      <c r="B491" t="s">
        <v>998</v>
      </c>
      <c r="D491" t="s">
        <v>399</v>
      </c>
      <c r="E491" t="s">
        <v>2670</v>
      </c>
      <c r="F491" s="20" t="s">
        <v>2671</v>
      </c>
      <c r="G491" t="s">
        <v>1482</v>
      </c>
      <c r="H491" s="17" t="s">
        <v>2672</v>
      </c>
      <c r="I491" s="18" t="s">
        <v>2185</v>
      </c>
      <c r="J491" t="s">
        <v>404</v>
      </c>
      <c r="K491" t="s">
        <v>404</v>
      </c>
    </row>
    <row r="492" spans="1:11" x14ac:dyDescent="0.2">
      <c r="A492" t="s">
        <v>2673</v>
      </c>
      <c r="B492" t="s">
        <v>2674</v>
      </c>
      <c r="D492" t="s">
        <v>128</v>
      </c>
      <c r="E492" t="s">
        <v>242</v>
      </c>
      <c r="F492" s="20">
        <v>35498</v>
      </c>
      <c r="G492" t="s">
        <v>1759</v>
      </c>
      <c r="H492" s="17" t="s">
        <v>2675</v>
      </c>
      <c r="I492" s="18" t="s">
        <v>1136</v>
      </c>
      <c r="J492" t="s">
        <v>2676</v>
      </c>
      <c r="K492" t="s">
        <v>302</v>
      </c>
    </row>
    <row r="493" spans="1:11" x14ac:dyDescent="0.2">
      <c r="A493" t="s">
        <v>2681</v>
      </c>
      <c r="B493" t="s">
        <v>2379</v>
      </c>
      <c r="D493" t="s">
        <v>210</v>
      </c>
      <c r="E493" t="s">
        <v>2268</v>
      </c>
      <c r="F493" s="20" t="s">
        <v>2682</v>
      </c>
      <c r="H493" s="17" t="s">
        <v>2683</v>
      </c>
      <c r="I493" s="18" t="s">
        <v>1957</v>
      </c>
      <c r="J493" t="s">
        <v>72</v>
      </c>
      <c r="K493" t="s">
        <v>238</v>
      </c>
    </row>
    <row r="494" spans="1:11" x14ac:dyDescent="0.2">
      <c r="A494" t="s">
        <v>2687</v>
      </c>
      <c r="B494" t="s">
        <v>2688</v>
      </c>
      <c r="D494" t="s">
        <v>1685</v>
      </c>
      <c r="E494">
        <v>207</v>
      </c>
      <c r="F494" s="20" t="s">
        <v>2689</v>
      </c>
      <c r="G494" t="s">
        <v>1453</v>
      </c>
      <c r="H494" s="17" t="s">
        <v>1695</v>
      </c>
      <c r="I494" s="18"/>
      <c r="J494" t="s">
        <v>114</v>
      </c>
      <c r="K494" t="s">
        <v>1725</v>
      </c>
    </row>
    <row r="495" spans="1:11" x14ac:dyDescent="0.2">
      <c r="A495" t="s">
        <v>2690</v>
      </c>
      <c r="B495" t="s">
        <v>2691</v>
      </c>
      <c r="D495" t="s">
        <v>437</v>
      </c>
      <c r="E495" t="s">
        <v>2692</v>
      </c>
      <c r="F495" s="20">
        <v>39639</v>
      </c>
      <c r="G495" t="s">
        <v>1482</v>
      </c>
      <c r="H495" s="17" t="s">
        <v>2693</v>
      </c>
      <c r="I495" s="18" t="s">
        <v>2694</v>
      </c>
      <c r="J495" t="s">
        <v>114</v>
      </c>
      <c r="K495" t="s">
        <v>302</v>
      </c>
    </row>
    <row r="496" spans="1:11" x14ac:dyDescent="0.2">
      <c r="A496" t="s">
        <v>2700</v>
      </c>
      <c r="B496" t="s">
        <v>2701</v>
      </c>
      <c r="D496" t="s">
        <v>128</v>
      </c>
      <c r="E496" t="s">
        <v>342</v>
      </c>
      <c r="F496" s="20">
        <v>41526</v>
      </c>
      <c r="G496" t="s">
        <v>1723</v>
      </c>
      <c r="H496" s="17" t="s">
        <v>2013</v>
      </c>
      <c r="I496" s="18" t="s">
        <v>1136</v>
      </c>
      <c r="J496" t="s">
        <v>204</v>
      </c>
      <c r="K496" t="s">
        <v>302</v>
      </c>
    </row>
    <row r="497" spans="1:11" x14ac:dyDescent="0.2">
      <c r="A497" t="s">
        <v>2717</v>
      </c>
      <c r="B497" t="s">
        <v>2718</v>
      </c>
      <c r="D497" t="s">
        <v>73</v>
      </c>
      <c r="E497" t="s">
        <v>2719</v>
      </c>
      <c r="F497" s="20">
        <v>42710</v>
      </c>
      <c r="G497" t="s">
        <v>1482</v>
      </c>
      <c r="H497" s="17" t="s">
        <v>2727</v>
      </c>
      <c r="I497" s="18" t="s">
        <v>1153</v>
      </c>
      <c r="J497" t="s">
        <v>77</v>
      </c>
      <c r="K497" t="s">
        <v>1942</v>
      </c>
    </row>
    <row r="498" spans="1:11" x14ac:dyDescent="0.2">
      <c r="A498" t="s">
        <v>2721</v>
      </c>
      <c r="B498" t="s">
        <v>392</v>
      </c>
      <c r="D498" t="s">
        <v>128</v>
      </c>
      <c r="E498" t="s">
        <v>342</v>
      </c>
      <c r="F498" s="20" t="s">
        <v>2722</v>
      </c>
      <c r="G498" t="s">
        <v>2511</v>
      </c>
      <c r="H498" s="17" t="s">
        <v>2013</v>
      </c>
      <c r="I498" s="18" t="s">
        <v>1136</v>
      </c>
      <c r="J498" t="s">
        <v>204</v>
      </c>
      <c r="K498" t="s">
        <v>302</v>
      </c>
    </row>
    <row r="499" spans="1:11" x14ac:dyDescent="0.2">
      <c r="A499" t="s">
        <v>2723</v>
      </c>
      <c r="B499" t="s">
        <v>1013</v>
      </c>
      <c r="D499" t="s">
        <v>213</v>
      </c>
      <c r="E499" t="s">
        <v>2724</v>
      </c>
      <c r="F499" s="20" t="s">
        <v>2725</v>
      </c>
      <c r="G499" t="s">
        <v>1929</v>
      </c>
      <c r="H499" s="17" t="s">
        <v>2732</v>
      </c>
      <c r="I499" s="18" t="s">
        <v>1869</v>
      </c>
      <c r="J499" t="s">
        <v>81</v>
      </c>
      <c r="K499" t="s">
        <v>302</v>
      </c>
    </row>
    <row r="500" spans="1:11" x14ac:dyDescent="0.2">
      <c r="A500" t="s">
        <v>2733</v>
      </c>
      <c r="B500" t="s">
        <v>2734</v>
      </c>
      <c r="D500" t="s">
        <v>1788</v>
      </c>
      <c r="E500" t="s">
        <v>1721</v>
      </c>
      <c r="F500" s="20" t="s">
        <v>2735</v>
      </c>
      <c r="G500" t="s">
        <v>1482</v>
      </c>
      <c r="H500" s="17" t="s">
        <v>2736</v>
      </c>
      <c r="I500" s="18" t="s">
        <v>1173</v>
      </c>
      <c r="J500" t="s">
        <v>2737</v>
      </c>
      <c r="K500" t="s">
        <v>2738</v>
      </c>
    </row>
    <row r="501" spans="1:11" x14ac:dyDescent="0.2">
      <c r="A501" t="s">
        <v>2744</v>
      </c>
      <c r="B501" t="s">
        <v>2745</v>
      </c>
      <c r="D501" t="s">
        <v>111</v>
      </c>
      <c r="E501" t="s">
        <v>418</v>
      </c>
      <c r="F501" s="20" t="s">
        <v>2746</v>
      </c>
      <c r="G501" t="s">
        <v>1459</v>
      </c>
      <c r="H501" s="17" t="s">
        <v>2747</v>
      </c>
      <c r="I501" s="18" t="s">
        <v>1104</v>
      </c>
      <c r="J501" t="s">
        <v>114</v>
      </c>
      <c r="K501" t="s">
        <v>94</v>
      </c>
    </row>
    <row r="502" spans="1:11" x14ac:dyDescent="0.2">
      <c r="A502" t="s">
        <v>2750</v>
      </c>
      <c r="B502" t="s">
        <v>1017</v>
      </c>
      <c r="D502" t="s">
        <v>139</v>
      </c>
      <c r="E502" t="s">
        <v>239</v>
      </c>
      <c r="F502" s="20">
        <v>43656</v>
      </c>
      <c r="G502" t="s">
        <v>2751</v>
      </c>
      <c r="H502" s="17" t="s">
        <v>2752</v>
      </c>
      <c r="I502" s="18"/>
      <c r="J502"/>
    </row>
    <row r="503" spans="1:11" x14ac:dyDescent="0.2">
      <c r="A503" t="s">
        <v>2754</v>
      </c>
      <c r="B503" t="s">
        <v>2755</v>
      </c>
      <c r="C503" s="22" t="s">
        <v>2756</v>
      </c>
      <c r="D503" t="s">
        <v>128</v>
      </c>
      <c r="E503" t="s">
        <v>706</v>
      </c>
      <c r="F503" s="20">
        <v>41550</v>
      </c>
      <c r="G503" t="s">
        <v>1723</v>
      </c>
      <c r="H503" s="17" t="s">
        <v>2757</v>
      </c>
      <c r="I503" s="18" t="s">
        <v>1136</v>
      </c>
      <c r="J503" t="s">
        <v>2758</v>
      </c>
      <c r="K503" t="s">
        <v>675</v>
      </c>
    </row>
    <row r="504" spans="1:11" x14ac:dyDescent="0.2">
      <c r="A504" t="s">
        <v>2759</v>
      </c>
      <c r="B504" t="s">
        <v>2760</v>
      </c>
      <c r="C504" s="22" t="s">
        <v>2761</v>
      </c>
      <c r="D504" t="s">
        <v>111</v>
      </c>
      <c r="E504">
        <v>308</v>
      </c>
      <c r="F504" s="20">
        <v>43501</v>
      </c>
      <c r="G504" t="s">
        <v>1735</v>
      </c>
      <c r="H504" s="17" t="s">
        <v>2762</v>
      </c>
      <c r="I504" s="18" t="s">
        <v>2768</v>
      </c>
      <c r="J504" t="s">
        <v>2434</v>
      </c>
      <c r="K504" t="s">
        <v>2764</v>
      </c>
    </row>
    <row r="505" spans="1:11" x14ac:dyDescent="0.2">
      <c r="A505" t="s">
        <v>2769</v>
      </c>
      <c r="B505" t="s">
        <v>1017</v>
      </c>
      <c r="D505" t="s">
        <v>1867</v>
      </c>
      <c r="E505" t="s">
        <v>2415</v>
      </c>
      <c r="F505" s="20" t="s">
        <v>2770</v>
      </c>
      <c r="G505" t="s">
        <v>2771</v>
      </c>
      <c r="H505" s="17" t="s">
        <v>2772</v>
      </c>
      <c r="I505" s="18" t="s">
        <v>1136</v>
      </c>
      <c r="J505" t="s">
        <v>93</v>
      </c>
      <c r="K505" t="s">
        <v>82</v>
      </c>
    </row>
    <row r="506" spans="1:11" x14ac:dyDescent="0.2">
      <c r="A506" t="s">
        <v>2773</v>
      </c>
      <c r="B506" t="s">
        <v>2774</v>
      </c>
      <c r="D506" t="s">
        <v>120</v>
      </c>
      <c r="E506" t="s">
        <v>530</v>
      </c>
      <c r="F506" s="20" t="s">
        <v>2775</v>
      </c>
      <c r="G506" t="s">
        <v>2776</v>
      </c>
      <c r="H506" s="17" t="s">
        <v>2142</v>
      </c>
      <c r="I506" s="18" t="s">
        <v>1470</v>
      </c>
      <c r="J506" t="s">
        <v>2777</v>
      </c>
      <c r="K506" t="s">
        <v>2777</v>
      </c>
    </row>
    <row r="507" spans="1:11" x14ac:dyDescent="0.2">
      <c r="A507" t="s">
        <v>2780</v>
      </c>
      <c r="B507" t="s">
        <v>2781</v>
      </c>
      <c r="D507" t="s">
        <v>173</v>
      </c>
      <c r="E507" t="s">
        <v>174</v>
      </c>
      <c r="F507" s="20" t="s">
        <v>2782</v>
      </c>
      <c r="G507" t="s">
        <v>1979</v>
      </c>
      <c r="H507" s="17" t="s">
        <v>2783</v>
      </c>
      <c r="I507" s="18" t="s">
        <v>1173</v>
      </c>
      <c r="J507" t="s">
        <v>1792</v>
      </c>
      <c r="K507" t="s">
        <v>302</v>
      </c>
    </row>
    <row r="508" spans="1:11" x14ac:dyDescent="0.2">
      <c r="A508" t="s">
        <v>2790</v>
      </c>
      <c r="B508" t="s">
        <v>2791</v>
      </c>
      <c r="D508" t="s">
        <v>128</v>
      </c>
      <c r="E508" t="s">
        <v>626</v>
      </c>
      <c r="F508" s="20">
        <v>45026</v>
      </c>
      <c r="G508" t="s">
        <v>2792</v>
      </c>
      <c r="H508" s="17" t="s">
        <v>2793</v>
      </c>
      <c r="I508" s="18" t="s">
        <v>503</v>
      </c>
      <c r="J508" t="s">
        <v>737</v>
      </c>
      <c r="K508" t="s">
        <v>238</v>
      </c>
    </row>
    <row r="509" spans="1:11" x14ac:dyDescent="0.2">
      <c r="A509" t="s">
        <v>2795</v>
      </c>
      <c r="B509" t="s">
        <v>2819</v>
      </c>
      <c r="C509" s="22" t="s">
        <v>2796</v>
      </c>
      <c r="D509" t="s">
        <v>173</v>
      </c>
      <c r="E509" t="s">
        <v>785</v>
      </c>
      <c r="F509" s="20" t="s">
        <v>2797</v>
      </c>
      <c r="G509" t="s">
        <v>2289</v>
      </c>
      <c r="H509" s="17" t="s">
        <v>2798</v>
      </c>
      <c r="I509" s="18" t="s">
        <v>1136</v>
      </c>
      <c r="J509" t="s">
        <v>204</v>
      </c>
      <c r="K509" t="s">
        <v>302</v>
      </c>
    </row>
    <row r="510" spans="1:11" x14ac:dyDescent="0.2">
      <c r="A510" t="s">
        <v>2806</v>
      </c>
      <c r="B510" t="s">
        <v>2807</v>
      </c>
      <c r="D510" t="s">
        <v>2329</v>
      </c>
      <c r="E510" t="s">
        <v>403</v>
      </c>
      <c r="F510" s="20" t="s">
        <v>2808</v>
      </c>
      <c r="G510" t="s">
        <v>1929</v>
      </c>
      <c r="H510" s="17" t="s">
        <v>2809</v>
      </c>
      <c r="I510" s="18" t="s">
        <v>2065</v>
      </c>
      <c r="J510" t="s">
        <v>2777</v>
      </c>
      <c r="K510" t="s">
        <v>2777</v>
      </c>
    </row>
    <row r="511" spans="1:11" x14ac:dyDescent="0.2">
      <c r="A511" t="s">
        <v>2810</v>
      </c>
      <c r="B511" t="s">
        <v>2811</v>
      </c>
      <c r="D511" t="s">
        <v>131</v>
      </c>
      <c r="E511" t="s">
        <v>2812</v>
      </c>
      <c r="F511" s="20" t="s">
        <v>2813</v>
      </c>
      <c r="G511" t="s">
        <v>1482</v>
      </c>
      <c r="H511" s="17" t="s">
        <v>2316</v>
      </c>
      <c r="I511" s="18" t="s">
        <v>2814</v>
      </c>
      <c r="J511" t="s">
        <v>404</v>
      </c>
      <c r="K511" t="s">
        <v>477</v>
      </c>
    </row>
    <row r="512" spans="1:11" x14ac:dyDescent="0.2">
      <c r="A512" t="s">
        <v>2830</v>
      </c>
      <c r="B512" t="s">
        <v>2831</v>
      </c>
      <c r="C512" s="22" t="s">
        <v>2832</v>
      </c>
      <c r="D512" t="s">
        <v>399</v>
      </c>
      <c r="E512" t="s">
        <v>2833</v>
      </c>
      <c r="F512" s="20" t="s">
        <v>2834</v>
      </c>
      <c r="G512" t="s">
        <v>1482</v>
      </c>
      <c r="H512" s="17" t="s">
        <v>2835</v>
      </c>
      <c r="I512" s="18" t="s">
        <v>503</v>
      </c>
      <c r="J512" t="s">
        <v>404</v>
      </c>
      <c r="K512" t="s">
        <v>404</v>
      </c>
    </row>
    <row r="513" spans="1:11" x14ac:dyDescent="0.2">
      <c r="A513" t="s">
        <v>2847</v>
      </c>
      <c r="B513" t="s">
        <v>630</v>
      </c>
      <c r="D513" t="s">
        <v>128</v>
      </c>
      <c r="E513" t="s">
        <v>342</v>
      </c>
      <c r="F513" s="20">
        <v>42223</v>
      </c>
      <c r="G513" t="s">
        <v>1723</v>
      </c>
      <c r="H513" s="17" t="s">
        <v>2013</v>
      </c>
      <c r="I513" s="18" t="s">
        <v>1136</v>
      </c>
      <c r="J513" t="s">
        <v>204</v>
      </c>
      <c r="K513" t="s">
        <v>78</v>
      </c>
    </row>
  </sheetData>
  <sheetProtection selectLockedCells="1"/>
  <phoneticPr fontId="23" type="noConversion"/>
  <pageMargins left="0.7" right="0.7" top="0.75" bottom="0.75" header="0.3" footer="0.3"/>
  <pageSetup paperSize="9" orientation="portrait" horizontalDpi="4294967293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5926A-0F3B-4BA9-BD71-FFFECA4D6DC6}">
  <sheetPr codeName="Feuil9"/>
  <dimension ref="A1:A4"/>
  <sheetViews>
    <sheetView workbookViewId="0">
      <selection activeCell="A7" sqref="A7"/>
    </sheetView>
  </sheetViews>
  <sheetFormatPr baseColWidth="10" defaultRowHeight="12.75" x14ac:dyDescent="0.2"/>
  <cols>
    <col min="1" max="1" width="25.42578125" customWidth="1"/>
  </cols>
  <sheetData>
    <row r="1" spans="1:1" x14ac:dyDescent="0.2">
      <c r="A1" t="s">
        <v>883</v>
      </c>
    </row>
    <row r="2" spans="1:1" x14ac:dyDescent="0.2">
      <c r="A2" t="s">
        <v>957</v>
      </c>
    </row>
    <row r="3" spans="1:1" x14ac:dyDescent="0.2">
      <c r="A3" t="s">
        <v>958</v>
      </c>
    </row>
    <row r="4" spans="1:1" x14ac:dyDescent="0.2">
      <c r="A4" t="s">
        <v>959</v>
      </c>
    </row>
  </sheetData>
  <sheetProtection selectLockedCell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967A64-FAD9-4655-A926-B7EA6EAD37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IMPRESSION</vt:lpstr>
      <vt:lpstr>ATTESTATION DE TRAVEAUX</vt:lpstr>
      <vt:lpstr>ETIQUETTE VIDANGE</vt:lpstr>
      <vt:lpstr>ETIQUETTE GAZOIL</vt:lpstr>
      <vt:lpstr>CHECK_VEHICULE</vt:lpstr>
      <vt:lpstr>VEHICULES</vt:lpstr>
      <vt:lpstr>MECANICIEN</vt:lpstr>
      <vt:lpstr>DATE_HEURE</vt:lpstr>
      <vt:lpstr>IMMATRICULATION</vt:lpstr>
      <vt:lpstr>IMPRESSION!Zone_d_impression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Adil ALI MAHOMED</dc:creator>
  <cp:lastModifiedBy>Yann Adil ALI MAHOMED</cp:lastModifiedBy>
  <cp:lastPrinted>2024-06-28T09:46:04Z</cp:lastPrinted>
  <dcterms:created xsi:type="dcterms:W3CDTF">2024-02-14T03:17:51Z</dcterms:created>
  <dcterms:modified xsi:type="dcterms:W3CDTF">2024-07-01T04:38:35Z</dcterms:modified>
</cp:coreProperties>
</file>